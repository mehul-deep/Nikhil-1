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hnam.Hooshyari\Desktop\BEHNAM\Maguire Water Tank Project\01- Hussein's works\Design Exampls for available tanks\"/>
    </mc:Choice>
  </mc:AlternateContent>
  <xr:revisionPtr revIDLastSave="0" documentId="13_ncr:1_{29E4FD28-8A9C-4B58-B7D2-737B525D284F}" xr6:coauthVersionLast="47" xr6:coauthVersionMax="47" xr10:uidLastSave="{00000000-0000-0000-0000-000000000000}"/>
  <bookViews>
    <workbookView xWindow="28680" yWindow="-120" windowWidth="29040" windowHeight="15720" activeTab="2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7" l="1"/>
  <c r="X12" i="17" s="1"/>
  <c r="V6" i="17"/>
  <c r="V5" i="17"/>
  <c r="V4" i="17"/>
  <c r="X4" i="17"/>
  <c r="V9" i="17"/>
  <c r="V12" i="17"/>
  <c r="V11" i="17"/>
  <c r="V10" i="17"/>
  <c r="U9" i="17"/>
  <c r="T9" i="17"/>
  <c r="T7" i="17"/>
  <c r="V3" i="17"/>
  <c r="U12" i="17"/>
  <c r="U11" i="17"/>
  <c r="U10" i="17"/>
  <c r="U7" i="17"/>
  <c r="U6" i="17"/>
  <c r="U5" i="17"/>
  <c r="U4" i="17"/>
  <c r="U3" i="17"/>
  <c r="T4" i="17"/>
  <c r="T5" i="17"/>
  <c r="T6" i="17"/>
  <c r="T10" i="17"/>
  <c r="T11" i="17"/>
  <c r="T12" i="17"/>
  <c r="T3" i="17"/>
  <c r="W3" i="17" a="1"/>
  <c r="W3" i="17" s="1"/>
  <c r="X10" i="17" l="1"/>
  <c r="X11" i="17"/>
  <c r="X5" i="17"/>
  <c r="X6" i="17"/>
  <c r="X7" i="17"/>
  <c r="X9" i="17"/>
  <c r="J23" i="17"/>
  <c r="J24" i="17"/>
  <c r="J25" i="17"/>
  <c r="K38" i="13"/>
  <c r="H38" i="13"/>
  <c r="E38" i="13"/>
  <c r="B38" i="13"/>
  <c r="N45" i="13" l="1"/>
  <c r="B45" i="13"/>
  <c r="B18" i="13"/>
  <c r="K34" i="13"/>
  <c r="K27" i="13"/>
  <c r="H20" i="13" l="1"/>
  <c r="B69" i="13"/>
  <c r="B70" i="13"/>
  <c r="G3" i="17" s="1"/>
  <c r="B71" i="13"/>
  <c r="I3" i="17" s="1"/>
  <c r="B73" i="13"/>
  <c r="G13" i="16"/>
  <c r="G12" i="16"/>
  <c r="G11" i="16"/>
  <c r="G10" i="16"/>
  <c r="G9" i="16"/>
  <c r="G8" i="16"/>
  <c r="B72" i="13" s="1"/>
  <c r="G7" i="16"/>
  <c r="G6" i="16"/>
  <c r="G5" i="16"/>
  <c r="G4" i="16"/>
  <c r="G3" i="16"/>
  <c r="G2" i="16"/>
  <c r="B12" i="13" l="1"/>
  <c r="B4" i="9" l="1"/>
  <c r="F3" i="9" s="1"/>
  <c r="F4" i="9" s="1"/>
  <c r="B10" i="9"/>
  <c r="B7" i="9"/>
  <c r="B11" i="9" l="1"/>
  <c r="N46" i="13" l="1"/>
  <c r="N52" i="13"/>
  <c r="O9" i="17"/>
  <c r="O8" i="17"/>
  <c r="H8" i="17"/>
  <c r="H9" i="17" s="1"/>
  <c r="H10" i="17" s="1"/>
  <c r="G10" i="17"/>
  <c r="G11" i="17" s="1"/>
  <c r="G8" i="17"/>
  <c r="G9" i="17" s="1"/>
  <c r="C8" i="17"/>
  <c r="C9" i="17"/>
  <c r="B18" i="17"/>
  <c r="A21" i="17" a="1"/>
  <c r="A21" i="17" s="1"/>
  <c r="A32" i="17" s="1" a="1"/>
  <c r="A32" i="17" s="1"/>
  <c r="G5" i="17"/>
  <c r="G6" i="17" s="1"/>
  <c r="G7" i="17" s="1"/>
  <c r="O12" i="17"/>
  <c r="O7" i="17"/>
  <c r="B12" i="17"/>
  <c r="B7" i="17"/>
  <c r="B6" i="17"/>
  <c r="B5" i="17"/>
  <c r="B4" i="17"/>
  <c r="C5" i="17"/>
  <c r="H11" i="17" l="1"/>
  <c r="H12" i="17" s="1"/>
  <c r="G12" i="17"/>
  <c r="B79" i="13"/>
  <c r="D5" i="17"/>
  <c r="E5" i="17"/>
  <c r="F5" i="17" s="1"/>
  <c r="E33" i="13" l="1"/>
  <c r="C11" i="17" l="1"/>
  <c r="Q5" i="13"/>
  <c r="Q4" i="13"/>
  <c r="E20" i="13"/>
  <c r="B40" i="13"/>
  <c r="B36" i="13"/>
  <c r="E34" i="13" s="1"/>
  <c r="O11" i="17" s="1"/>
  <c r="H33" i="13"/>
  <c r="H30" i="13"/>
  <c r="I5" i="17" s="1"/>
  <c r="B8" i="13"/>
  <c r="B7" i="13"/>
  <c r="K20" i="13" l="1"/>
  <c r="K30" i="13"/>
  <c r="C7" i="17"/>
  <c r="D7" i="17" s="1"/>
  <c r="B20" i="13"/>
  <c r="B39" i="13"/>
  <c r="B43" i="13" s="1"/>
  <c r="C12" i="17"/>
  <c r="E12" i="17" s="1"/>
  <c r="F12" i="17" s="1"/>
  <c r="B46" i="13"/>
  <c r="C10" i="17"/>
  <c r="H5" i="17"/>
  <c r="H6" i="17" s="1"/>
  <c r="H7" i="17" s="1"/>
  <c r="J3" i="17" a="1"/>
  <c r="K4" i="17" s="1"/>
  <c r="E7" i="17"/>
  <c r="F7" i="17" s="1"/>
  <c r="C4" i="17"/>
  <c r="E30" i="13"/>
  <c r="I6" i="17" s="1"/>
  <c r="C6" i="17"/>
  <c r="B30" i="13"/>
  <c r="I7" i="17" s="1"/>
  <c r="B42" i="13"/>
  <c r="Q10" i="13"/>
  <c r="Q11" i="13" s="1"/>
  <c r="Q13" i="13" s="1"/>
  <c r="B21" i="13"/>
  <c r="E36" i="13"/>
  <c r="H34" i="13" s="1"/>
  <c r="O10" i="17" s="1"/>
  <c r="B22" i="13"/>
  <c r="B24" i="13" s="1"/>
  <c r="E37" i="13"/>
  <c r="B47" i="13"/>
  <c r="B49" i="13" s="1"/>
  <c r="E47" i="13"/>
  <c r="E49" i="13" s="1"/>
  <c r="B41" i="13"/>
  <c r="B48" i="13"/>
  <c r="B50" i="13" s="1"/>
  <c r="E45" i="13" l="1"/>
  <c r="B51" i="13"/>
  <c r="M12" i="17" s="1"/>
  <c r="B52" i="13"/>
  <c r="P12" i="17" s="1"/>
  <c r="Q12" i="17" s="1"/>
  <c r="D12" i="17"/>
  <c r="J3" i="17"/>
  <c r="J4" i="17" s="1"/>
  <c r="K5" i="17"/>
  <c r="K6" i="17" s="1"/>
  <c r="K7" i="17" s="1"/>
  <c r="K8" i="17" s="1"/>
  <c r="K9" i="17" s="1"/>
  <c r="K10" i="17" s="1"/>
  <c r="K11" i="17" s="1"/>
  <c r="K12" i="17" s="1"/>
  <c r="I4" i="17"/>
  <c r="L4" i="17" s="1"/>
  <c r="L5" i="17" s="1"/>
  <c r="Q30" i="13"/>
  <c r="E6" i="17"/>
  <c r="F6" i="17" s="1"/>
  <c r="D6" i="17"/>
  <c r="D4" i="17"/>
  <c r="C22" i="17" a="1"/>
  <c r="C22" i="17" s="1"/>
  <c r="E4" i="17"/>
  <c r="F4" i="17" s="1"/>
  <c r="B11" i="17"/>
  <c r="B44" i="13"/>
  <c r="B55" i="13" s="1"/>
  <c r="B56" i="13" s="1"/>
  <c r="B54" i="13" s="1"/>
  <c r="B29" i="13"/>
  <c r="E48" i="13"/>
  <c r="E50" i="13" s="1"/>
  <c r="H36" i="13"/>
  <c r="H47" i="13"/>
  <c r="H49" i="13" s="1"/>
  <c r="E40" i="13"/>
  <c r="E42" i="13"/>
  <c r="E51" i="13" l="1"/>
  <c r="M11" i="17" s="1"/>
  <c r="B34" i="17"/>
  <c r="E52" i="13"/>
  <c r="P11" i="17" s="1"/>
  <c r="Q11" i="17" s="1"/>
  <c r="J5" i="17"/>
  <c r="E46" i="13"/>
  <c r="H48" i="13"/>
  <c r="H50" i="13" s="1"/>
  <c r="R12" i="17"/>
  <c r="I12" i="17"/>
  <c r="L6" i="17"/>
  <c r="L7" i="17" s="1"/>
  <c r="E11" i="17"/>
  <c r="F11" i="17" s="1"/>
  <c r="D11" i="17"/>
  <c r="B53" i="13"/>
  <c r="E41" i="13"/>
  <c r="E44" i="13" s="1"/>
  <c r="E39" i="13"/>
  <c r="E43" i="13" s="1"/>
  <c r="H37" i="13"/>
  <c r="K37" i="13" l="1"/>
  <c r="H45" i="13"/>
  <c r="H51" i="13" s="1"/>
  <c r="M10" i="17" s="1"/>
  <c r="J6" i="17"/>
  <c r="B35" i="17"/>
  <c r="B10" i="17"/>
  <c r="H52" i="13"/>
  <c r="P10" i="17" s="1"/>
  <c r="Q10" i="17" s="1"/>
  <c r="K47" i="13"/>
  <c r="K49" i="13" s="1"/>
  <c r="K36" i="13"/>
  <c r="E53" i="13"/>
  <c r="R11" i="17"/>
  <c r="E55" i="13"/>
  <c r="E56" i="13" s="1"/>
  <c r="E54" i="13" s="1"/>
  <c r="H42" i="13"/>
  <c r="H40" i="13"/>
  <c r="K45" i="13" l="1"/>
  <c r="K46" i="13"/>
  <c r="H46" i="13"/>
  <c r="J7" i="17"/>
  <c r="B36" i="17"/>
  <c r="K48" i="13"/>
  <c r="B9" i="17"/>
  <c r="D10" i="17"/>
  <c r="E10" i="17"/>
  <c r="F10" i="17" s="1"/>
  <c r="I11" i="17"/>
  <c r="H41" i="13"/>
  <c r="H44" i="13" s="1"/>
  <c r="H39" i="13"/>
  <c r="H43" i="13" s="1"/>
  <c r="K50" i="13" l="1"/>
  <c r="K52" i="13" s="1"/>
  <c r="P9" i="17" s="1"/>
  <c r="Q9" i="17" s="1"/>
  <c r="J8" i="17"/>
  <c r="J9" i="17" s="1"/>
  <c r="J10" i="17" s="1"/>
  <c r="B37" i="17"/>
  <c r="R10" i="17"/>
  <c r="D9" i="17"/>
  <c r="E9" i="17"/>
  <c r="F9" i="17" s="1"/>
  <c r="H53" i="13"/>
  <c r="K40" i="13"/>
  <c r="K42" i="13"/>
  <c r="K51" i="13"/>
  <c r="M9" i="17" s="1"/>
  <c r="N47" i="13"/>
  <c r="N49" i="13" s="1"/>
  <c r="N36" i="13"/>
  <c r="N48" i="13" s="1"/>
  <c r="N50" i="13" s="1"/>
  <c r="H55" i="13"/>
  <c r="H56" i="13" s="1"/>
  <c r="H54" i="13" s="1"/>
  <c r="J11" i="17" l="1"/>
  <c r="K53" i="13"/>
  <c r="R9" i="17"/>
  <c r="B8" i="17"/>
  <c r="K41" i="13"/>
  <c r="K44" i="13" s="1"/>
  <c r="K39" i="13"/>
  <c r="K43" i="13" s="1"/>
  <c r="P8" i="17"/>
  <c r="Q8" i="17" s="1"/>
  <c r="I10" i="17"/>
  <c r="P4" i="17" l="1"/>
  <c r="J12" i="17"/>
  <c r="D8" i="17"/>
  <c r="E8" i="17"/>
  <c r="F8" i="17" s="1"/>
  <c r="C38" i="17" s="1"/>
  <c r="B22" i="17" a="1"/>
  <c r="K55" i="13"/>
  <c r="K56" i="13" s="1"/>
  <c r="K54" i="13" s="1"/>
  <c r="N40" i="13"/>
  <c r="N42" i="13"/>
  <c r="E22" i="17" l="1" a="1"/>
  <c r="E22" i="17" s="1"/>
  <c r="B38" i="17"/>
  <c r="D38" i="17" s="1"/>
  <c r="D23" i="17"/>
  <c r="I23" i="17" s="1"/>
  <c r="K23" i="17" s="1"/>
  <c r="D27" i="17"/>
  <c r="I27" i="17" s="1"/>
  <c r="K27" i="17" s="1"/>
  <c r="D24" i="17"/>
  <c r="I24" i="17" s="1"/>
  <c r="K24" i="17" s="1"/>
  <c r="D28" i="17"/>
  <c r="I28" i="17" s="1"/>
  <c r="K28" i="17" s="1"/>
  <c r="D25" i="17"/>
  <c r="I25" i="17" s="1"/>
  <c r="K25" i="17" s="1"/>
  <c r="D29" i="17"/>
  <c r="I29" i="17" s="1"/>
  <c r="K29" i="17" s="1"/>
  <c r="D26" i="17"/>
  <c r="H26" i="17" s="1"/>
  <c r="D30" i="17"/>
  <c r="N51" i="13"/>
  <c r="M8" i="17" s="1"/>
  <c r="I9" i="17"/>
  <c r="B22" i="17"/>
  <c r="F22" i="17" a="1"/>
  <c r="G24" i="17" s="1"/>
  <c r="N39" i="13"/>
  <c r="N43" i="13" s="1"/>
  <c r="N41" i="13"/>
  <c r="N44" i="13" s="1"/>
  <c r="G26" i="17" l="1"/>
  <c r="G27" i="17"/>
  <c r="I26" i="17"/>
  <c r="K26" i="17" s="1"/>
  <c r="H27" i="17"/>
  <c r="H30" i="17"/>
  <c r="I30" i="17" s="1"/>
  <c r="K30" i="17" s="1"/>
  <c r="H25" i="17"/>
  <c r="G30" i="17"/>
  <c r="J30" i="17" s="1"/>
  <c r="G29" i="17"/>
  <c r="G28" i="17"/>
  <c r="G23" i="17"/>
  <c r="H29" i="17"/>
  <c r="H28" i="17"/>
  <c r="H23" i="17"/>
  <c r="H24" i="17"/>
  <c r="G25" i="17"/>
  <c r="D22" i="17"/>
  <c r="H22" i="17" s="1"/>
  <c r="Q51" i="13"/>
  <c r="N53" i="13"/>
  <c r="Q53" i="13" s="1"/>
  <c r="N55" i="13"/>
  <c r="N56" i="13" s="1"/>
  <c r="N54" i="13" s="1"/>
  <c r="F22" i="17"/>
  <c r="G22" i="17" s="1"/>
  <c r="J27" i="17" l="1"/>
  <c r="L27" i="17" s="1"/>
  <c r="M27" i="17" s="1"/>
  <c r="J26" i="17"/>
  <c r="L26" i="17" s="1"/>
  <c r="M26" i="17" s="1"/>
  <c r="J22" i="17"/>
  <c r="L23" i="17"/>
  <c r="M23" i="17" s="1"/>
  <c r="J28" i="17"/>
  <c r="L28" i="17" s="1"/>
  <c r="M28" i="17" s="1"/>
  <c r="L30" i="17"/>
  <c r="M30" i="17" s="1"/>
  <c r="J29" i="17"/>
  <c r="L29" i="17" s="1"/>
  <c r="M29" i="17" s="1"/>
  <c r="L24" i="17"/>
  <c r="M24" i="17" s="1"/>
  <c r="L25" i="17"/>
  <c r="M25" i="17" s="1"/>
  <c r="I22" i="17"/>
  <c r="K22" i="17" s="1"/>
  <c r="R8" i="17"/>
  <c r="Q56" i="13"/>
  <c r="B80" i="13" s="1"/>
  <c r="I8" i="17"/>
  <c r="L8" i="17" s="1"/>
  <c r="L9" i="17" s="1"/>
  <c r="N21" i="17" a="1"/>
  <c r="L10" i="17" l="1"/>
  <c r="B39" i="17"/>
  <c r="L22" i="17"/>
  <c r="M22" i="17" s="1"/>
  <c r="N21" i="17"/>
  <c r="B81" i="13"/>
  <c r="Q14" i="13" s="1"/>
  <c r="L11" i="17"/>
  <c r="B41" i="17" s="1"/>
  <c r="B40" i="17"/>
  <c r="Q7" i="9" l="1"/>
  <c r="E18" i="9" s="1" a="1"/>
  <c r="E18" i="9" s="1"/>
  <c r="Q3" i="9"/>
  <c r="Q5" i="9"/>
  <c r="Q4" i="9"/>
  <c r="Q8" i="9"/>
  <c r="A18" i="9" s="1" a="1"/>
  <c r="A18" i="9" s="1"/>
  <c r="Q6" i="9"/>
  <c r="Q2" i="9"/>
  <c r="Q15" i="13"/>
  <c r="L12" i="17"/>
  <c r="B42" i="17" s="1"/>
  <c r="I18" i="9" l="1" a="1"/>
  <c r="I18" i="9" s="1"/>
  <c r="I15" i="9"/>
  <c r="E15" i="9"/>
  <c r="A15" i="9"/>
  <c r="C34" i="17"/>
  <c r="D34" i="17"/>
  <c r="B23" i="13"/>
  <c r="B25" i="13" s="1"/>
  <c r="E16" i="13"/>
  <c r="O6" i="17" s="1"/>
  <c r="E21" i="13" l="1"/>
  <c r="E29" i="13" s="1"/>
  <c r="E22" i="13"/>
  <c r="E24" i="13" s="1"/>
  <c r="B26" i="13"/>
  <c r="M7" i="17" s="1"/>
  <c r="B27" i="13"/>
  <c r="E18" i="13"/>
  <c r="H16" i="13" l="1"/>
  <c r="E23" i="13"/>
  <c r="E25" i="13" s="1"/>
  <c r="B28" i="13"/>
  <c r="P7" i="17"/>
  <c r="Q7" i="17" s="1"/>
  <c r="R7" i="17" s="1"/>
  <c r="E26" i="13" l="1"/>
  <c r="M6" i="17" s="1"/>
  <c r="E27" i="13"/>
  <c r="H22" i="13"/>
  <c r="H24" i="13" s="1"/>
  <c r="H21" i="13"/>
  <c r="H29" i="13" s="1"/>
  <c r="H18" i="13"/>
  <c r="O5" i="17"/>
  <c r="K16" i="13" l="1"/>
  <c r="H23" i="13"/>
  <c r="H25" i="13" s="1"/>
  <c r="H27" i="13" s="1"/>
  <c r="P6" i="17"/>
  <c r="Q6" i="17" s="1"/>
  <c r="R6" i="17" s="1"/>
  <c r="E28" i="13"/>
  <c r="P5" i="17" l="1"/>
  <c r="Q5" i="17" s="1"/>
  <c r="H26" i="13"/>
  <c r="M5" i="17" s="1"/>
  <c r="R5" i="17" s="1"/>
  <c r="K18" i="13"/>
  <c r="O4" i="17"/>
  <c r="Q4" i="17" s="1"/>
  <c r="K21" i="13"/>
  <c r="K29" i="13" s="1"/>
  <c r="K22" i="13"/>
  <c r="K24" i="13" s="1"/>
  <c r="B61" i="13" l="1"/>
  <c r="K23" i="13"/>
  <c r="K25" i="13" s="1"/>
  <c r="K26" i="13" s="1"/>
  <c r="H28" i="13"/>
  <c r="M4" i="17" l="1"/>
  <c r="R4" i="17" s="1"/>
  <c r="K28" i="13"/>
  <c r="Q28" i="13" s="1"/>
  <c r="Q26" i="13"/>
  <c r="B62" i="13"/>
  <c r="B64" i="13" s="1"/>
  <c r="B66" i="13" s="1"/>
  <c r="O3" i="17"/>
  <c r="B68" i="13"/>
  <c r="B63" i="13"/>
  <c r="B65" i="13" s="1"/>
  <c r="B67" i="13" l="1"/>
  <c r="P3" i="17"/>
  <c r="Q3" i="17" s="1"/>
  <c r="Q16" i="13"/>
  <c r="B78" i="13"/>
  <c r="B74" i="13"/>
  <c r="B77" i="13" s="1"/>
  <c r="M3" i="17"/>
  <c r="S4" i="17" s="1"/>
  <c r="S7" i="9" l="1"/>
  <c r="F18" i="9" s="1" a="1"/>
  <c r="F18" i="9" s="1"/>
  <c r="S8" i="9"/>
  <c r="B18" i="9" s="1" a="1"/>
  <c r="B18" i="9" s="1"/>
  <c r="S6" i="9"/>
  <c r="S9" i="17"/>
  <c r="C39" i="17" s="1"/>
  <c r="D39" i="17" s="1"/>
  <c r="S10" i="17"/>
  <c r="C40" i="17" s="1"/>
  <c r="D40" i="17" s="1"/>
  <c r="N3" i="17"/>
  <c r="N4" i="17" s="1"/>
  <c r="N5" i="17" s="1"/>
  <c r="N6" i="17" s="1"/>
  <c r="N7" i="17" s="1"/>
  <c r="N8" i="17" s="1"/>
  <c r="N9" i="17" s="1"/>
  <c r="N10" i="17" s="1"/>
  <c r="N11" i="17" s="1"/>
  <c r="N12" i="17" s="1"/>
  <c r="S11" i="17"/>
  <c r="C41" i="17" s="1"/>
  <c r="D41" i="17" s="1"/>
  <c r="R3" i="17"/>
  <c r="S3" i="17" s="1"/>
  <c r="S12" i="17"/>
  <c r="C42" i="17" s="1"/>
  <c r="D42" i="17" s="1"/>
  <c r="S8" i="17"/>
  <c r="S7" i="17"/>
  <c r="C37" i="17" s="1"/>
  <c r="D37" i="17" s="1"/>
  <c r="S6" i="17"/>
  <c r="C36" i="17" s="1"/>
  <c r="D36" i="17" s="1"/>
  <c r="S5" i="17"/>
  <c r="C35" i="17" s="1"/>
  <c r="D35" i="17" s="1"/>
  <c r="K18" i="9" l="1" a="1"/>
  <c r="K18" i="9" s="1"/>
  <c r="L18" i="9" s="1" a="1"/>
  <c r="L18" i="9" s="1"/>
  <c r="I16" i="9"/>
  <c r="G18" i="9" a="1"/>
  <c r="G18" i="9" s="1"/>
  <c r="E16" i="9"/>
  <c r="C18" i="9" a="1"/>
  <c r="C18" i="9" s="1"/>
  <c r="A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<sst xmlns="http://schemas.openxmlformats.org/spreadsheetml/2006/main" count="588" uniqueCount="180">
  <si>
    <t>weight</t>
  </si>
  <si>
    <t>kips</t>
  </si>
  <si>
    <t>in</t>
  </si>
  <si>
    <t>ft</t>
  </si>
  <si>
    <t>Thickness</t>
  </si>
  <si>
    <t>Weight</t>
  </si>
  <si>
    <t>Top diameter</t>
  </si>
  <si>
    <t>Bottom diameter</t>
  </si>
  <si>
    <t>Height of the cone</t>
  </si>
  <si>
    <t>S1</t>
  </si>
  <si>
    <t>S2</t>
  </si>
  <si>
    <t>V1</t>
  </si>
  <si>
    <t xml:space="preserve">V </t>
  </si>
  <si>
    <t>V</t>
  </si>
  <si>
    <t>a</t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</si>
  <si>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</si>
  <si>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</si>
  <si>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</si>
  <si>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</si>
  <si>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t>Ri</t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</si>
  <si>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</si>
  <si>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t>Ai</t>
  </si>
  <si>
    <t>Ti</t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</si>
  <si>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</si>
  <si>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t>Ts</t>
  </si>
  <si>
    <t>seismic base shear</t>
  </si>
  <si>
    <t>g</t>
  </si>
  <si>
    <t>sec</t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</si>
  <si>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</si>
  <si>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t>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</si>
  <si>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</si>
  <si>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</si>
  <si>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</si>
  <si>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</si>
  <si>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</si>
  <si>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</si>
  <si>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</si>
  <si>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</si>
  <si>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frustum weight 1</t>
  </si>
  <si>
    <t>cylinder weight 1</t>
  </si>
  <si>
    <t>Diameter of the cylinder</t>
  </si>
  <si>
    <t>Height of the cylinder</t>
  </si>
  <si>
    <t>S3</t>
  </si>
  <si>
    <t>S4</t>
  </si>
  <si>
    <t>V2</t>
  </si>
  <si>
    <t>cylinder weight 2</t>
  </si>
  <si>
    <t>cylinder weight 3</t>
  </si>
  <si>
    <t>cylinder weight 4</t>
  </si>
  <si>
    <t>frustum weight 2</t>
  </si>
  <si>
    <t>frustum weight 3</t>
  </si>
  <si>
    <t>frustum weight 4</t>
  </si>
  <si>
    <t>frustum weight 5</t>
  </si>
  <si>
    <t>weight of water</t>
  </si>
  <si>
    <t>COM</t>
  </si>
  <si>
    <t>exposure</t>
  </si>
  <si>
    <r>
      <t>q</t>
    </r>
    <r>
      <rPr>
        <vertAlign val="subscript"/>
        <sz val="11"/>
        <color theme="1"/>
        <rFont val="Times New Roman"/>
        <family val="1"/>
      </rPr>
      <t>zi</t>
    </r>
  </si>
  <si>
    <r>
      <t>q</t>
    </r>
    <r>
      <rPr>
        <vertAlign val="subscript"/>
        <sz val="11"/>
        <color theme="1"/>
        <rFont val="Times New Roman"/>
        <family val="1"/>
      </rPr>
      <t>zf</t>
    </r>
  </si>
  <si>
    <t>F location</t>
  </si>
  <si>
    <r>
      <t>k</t>
    </r>
    <r>
      <rPr>
        <vertAlign val="subscript"/>
        <sz val="11"/>
        <color theme="1"/>
        <rFont val="Times New Roman"/>
        <family val="1"/>
      </rPr>
      <t>zi</t>
    </r>
  </si>
  <si>
    <r>
      <t>k</t>
    </r>
    <r>
      <rPr>
        <vertAlign val="subscript"/>
        <sz val="11"/>
        <color theme="1"/>
        <rFont val="Times New Roman"/>
        <family val="1"/>
      </rPr>
      <t>zf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</si>
  <si>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</si>
  <si>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</si>
  <si>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</si>
  <si>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</si>
  <si>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</si>
  <si>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</si>
  <si>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</si>
  <si>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</si>
  <si>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</si>
  <si>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</si>
  <si>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</si>
  <si>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t xml:space="preserve">Sequence number 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</si>
  <si>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</si>
  <si>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</si>
  <si>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</si>
  <si>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</si>
  <si>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</si>
  <si>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</si>
  <si>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</si>
  <si>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</si>
  <si>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</si>
  <si>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</si>
  <si>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</si>
  <si>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</si>
  <si>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</si>
  <si>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</si>
  <si>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</si>
  <si>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</si>
  <si>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</si>
  <si>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</si>
  <si>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</si>
  <si>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</si>
  <si>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</si>
  <si>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</si>
  <si>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</si>
  <si>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</si>
  <si>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Diameter(in)</t>
  </si>
  <si>
    <t>Thickness(in)</t>
  </si>
  <si>
    <t>Tank</t>
  </si>
  <si>
    <t>-</t>
  </si>
  <si>
    <t>Gravity Loads (per segemnet)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</si>
  <si>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</si>
  <si>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</si>
  <si>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</si>
  <si>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</si>
  <si>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</si>
  <si>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Gravity Loads (cumulative)</t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</si>
  <si>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</si>
  <si>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</si>
  <si>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</si>
  <si>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</si>
  <si>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k</t>
    </r>
    <r>
      <rPr>
        <vertAlign val="subscript"/>
        <sz val="11"/>
        <color theme="1"/>
        <rFont val="GreekC"/>
      </rPr>
      <t>f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</si>
  <si>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</si>
  <si>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</si>
  <si>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</si>
  <si>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rPr>
        <sz val="11"/>
        <color rgb="FFFF0000"/>
        <rFont val="Aptos Narrow"/>
        <family val="2"/>
        <scheme val="minor"/>
      </rP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</si>
  <si>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</si>
  <si>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</si>
  <si>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Arm length</t>
  </si>
  <si>
    <t>F x Arm</t>
  </si>
  <si>
    <t xml:space="preserve"> load location</t>
  </si>
  <si>
    <t>Fy</t>
  </si>
  <si>
    <t>Seismic base moment</t>
  </si>
  <si>
    <t>Diameter of tank</t>
  </si>
  <si>
    <t>Height to consider</t>
  </si>
  <si>
    <t>Area to consider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</si>
  <si>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</si>
  <si>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Ground snow load</t>
  </si>
  <si>
    <t>Exposure Factor</t>
  </si>
  <si>
    <r>
      <t>C</t>
    </r>
    <r>
      <rPr>
        <vertAlign val="subscript"/>
        <sz val="11"/>
        <color theme="1"/>
        <rFont val="Aptos Display"/>
        <family val="2"/>
        <scheme val="major"/>
      </rPr>
      <t>e</t>
    </r>
  </si>
  <si>
    <r>
      <t>C</t>
    </r>
    <r>
      <rPr>
        <vertAlign val="subscript"/>
        <sz val="11"/>
        <color theme="1"/>
        <rFont val="Aptos Display"/>
        <family val="2"/>
        <scheme val="major"/>
      </rPr>
      <t>t</t>
    </r>
  </si>
  <si>
    <t>Importance Factor</t>
  </si>
  <si>
    <t>RC IV</t>
  </si>
  <si>
    <r>
      <t>I</t>
    </r>
    <r>
      <rPr>
        <vertAlign val="subscript"/>
        <sz val="11"/>
        <color theme="1"/>
        <rFont val="Aptos Display"/>
        <family val="2"/>
        <scheme val="major"/>
      </rPr>
      <t>s</t>
    </r>
  </si>
  <si>
    <r>
      <t>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</si>
  <si>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b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</si>
  <si>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a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</si>
  <si>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 xml:space="preserve">L </t>
    </r>
    <r>
      <rPr>
        <sz val="11"/>
        <color theme="4" tint="-0.249977111117893"/>
        <rFont val="Aptos Narrow"/>
        <family val="2"/>
        <scheme val="minor"/>
      </rPr>
      <t>(ksi)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</si>
  <si>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E</t>
    </r>
  </si>
  <si>
    <t>Base Elevation</t>
  </si>
  <si>
    <t>D</t>
  </si>
  <si>
    <t>Load Combination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</si>
  <si>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</si>
  <si>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</si>
  <si>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</si>
  <si>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</si>
  <si>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</si>
  <si>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</si>
  <si>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</si>
  <si>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</si>
  <si>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</si>
  <si>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</si>
  <si>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</si>
  <si>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</si>
  <si>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</si>
  <si>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</si>
  <si>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ft</t>
    </r>
    <r>
      <rPr>
        <vertAlign val="superscript"/>
        <sz val="11"/>
        <rFont val="Aptos Narrow"/>
        <family val="2"/>
        <scheme val="minor"/>
      </rPr>
      <t>3</t>
    </r>
  </si>
  <si>
    <r>
      <t>ft</t>
    </r>
    <r>
      <rPr>
        <b/>
        <vertAlign val="superscript"/>
        <sz val="11"/>
        <rFont val="Aptos Narrow"/>
        <family val="2"/>
        <scheme val="minor"/>
      </rPr>
      <t>3</t>
    </r>
  </si>
  <si>
    <t>P</t>
  </si>
  <si>
    <t>M</t>
  </si>
  <si>
    <t>fa</t>
  </si>
  <si>
    <t>fb</t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</si>
  <si>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</si>
  <si>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D + L</t>
  </si>
  <si>
    <t>D + 0.6(W or E)</t>
  </si>
  <si>
    <t>0.6D + 0.6(W or E)</t>
  </si>
  <si>
    <t>Live Load</t>
  </si>
  <si>
    <t>Total  Reactions</t>
  </si>
  <si>
    <r>
      <t xml:space="preserve">height </t>
    </r>
    <r>
      <rPr>
        <b/>
        <sz val="11"/>
        <color theme="1"/>
        <rFont val="Aptos Narrow"/>
        <family val="2"/>
        <scheme val="minor"/>
      </rPr>
      <t>(ft)</t>
    </r>
  </si>
  <si>
    <t>Roof Live Load</t>
  </si>
  <si>
    <t>Min Roof Live Load</t>
  </si>
  <si>
    <t>D + (Lr or S)</t>
  </si>
  <si>
    <t>D + 0.75L + 0.75(0.6W or 0.6E) + 0.75(Lr or S)</t>
  </si>
  <si>
    <t>D + 0.75L + 0.75(Lr or S)</t>
  </si>
  <si>
    <t>ft-kips</t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</si>
  <si>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</si>
  <si>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t>λ</t>
  </si>
  <si>
    <t>Seismic Load (per segment)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</si>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</sst>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C00000"/>
      <name val="Aptos Narrow"/>
      <family val="2"/>
      <scheme val="minor"/>
    </font>
    <font>
      <vertAlign val="subscript"/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GreekC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vertAlign val="subscript"/>
      <sz val="11"/>
      <color theme="1"/>
      <name val="Aptos Display"/>
      <family val="2"/>
      <scheme val="major"/>
    </font>
    <font>
      <b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6" fillId="0" borderId="12" applyNumberFormat="0" applyFill="0" applyAlignment="0" applyProtection="0"/>
    <xf numFmtId="0" fontId="1" fillId="0" borderId="13" applyNumberFormat="0" applyFill="0" applyAlignment="0" applyProtection="0"/>
  </cellStyleXfs>
  <cellXfs count="22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2" fontId="11" fillId="2" borderId="32" xfId="0" applyNumberFormat="1" applyFont="1" applyFill="1" applyBorder="1" applyAlignment="1">
      <alignment horizontal="center"/>
    </xf>
    <xf numFmtId="2" fontId="11" fillId="2" borderId="33" xfId="0" applyNumberFormat="1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164" fontId="11" fillId="2" borderId="33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2" fontId="9" fillId="2" borderId="5" xfId="0" applyNumberFormat="1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2" fontId="23" fillId="2" borderId="0" xfId="0" quotePrefix="1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2" borderId="7" xfId="0" applyFont="1" applyFill="1" applyBorder="1" applyAlignment="1">
      <alignment horizontal="center"/>
    </xf>
    <xf numFmtId="2" fontId="23" fillId="2" borderId="7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18" fillId="2" borderId="9" xfId="0" applyNumberFormat="1" applyFont="1" applyFill="1" applyBorder="1" applyAlignment="1">
      <alignment horizontal="center"/>
    </xf>
    <xf numFmtId="166" fontId="22" fillId="0" borderId="7" xfId="0" applyNumberFormat="1" applyFont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4" xfId="0" applyFill="1" applyBorder="1"/>
    <xf numFmtId="0" fontId="23" fillId="2" borderId="5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2" fontId="17" fillId="2" borderId="7" xfId="0" applyNumberFormat="1" applyFont="1" applyFill="1" applyBorder="1" applyAlignment="1">
      <alignment horizontal="center"/>
    </xf>
    <xf numFmtId="0" fontId="22" fillId="4" borderId="2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7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25" xfId="0" applyFill="1" applyBorder="1" applyAlignment="1">
      <alignment horizontal="center"/>
    </xf>
    <xf numFmtId="0" fontId="6" fillId="3" borderId="4" xfId="2" applyFill="1" applyBorder="1" applyAlignment="1">
      <alignment horizontal="center"/>
    </xf>
    <xf numFmtId="0" fontId="6" fillId="3" borderId="30" xfId="2" applyFill="1" applyBorder="1" applyAlignment="1">
      <alignment horizontal="center"/>
    </xf>
    <xf numFmtId="0" fontId="6" fillId="3" borderId="5" xfId="2" applyFill="1" applyBorder="1" applyAlignment="1">
      <alignment horizontal="center"/>
    </xf>
    <xf numFmtId="0" fontId="6" fillId="2" borderId="0" xfId="2" applyFill="1" applyBorder="1" applyAlignment="1">
      <alignment horizontal="center"/>
    </xf>
    <xf numFmtId="0" fontId="6" fillId="2" borderId="30" xfId="2" applyFill="1" applyBorder="1" applyAlignment="1">
      <alignment horizontal="center"/>
    </xf>
    <xf numFmtId="0" fontId="6" fillId="2" borderId="4" xfId="2" applyFill="1" applyBorder="1" applyAlignment="1">
      <alignment horizontal="center"/>
    </xf>
    <xf numFmtId="0" fontId="6" fillId="2" borderId="5" xfId="2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2" fontId="9" fillId="3" borderId="21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2" fontId="9" fillId="2" borderId="40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2" fontId="26" fillId="3" borderId="23" xfId="0" applyNumberFormat="1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2" fontId="26" fillId="2" borderId="23" xfId="0" applyNumberFormat="1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6" fillId="2" borderId="39" xfId="0" applyFont="1" applyFill="1" applyBorder="1" applyAlignment="1">
      <alignment horizontal="center"/>
    </xf>
    <xf numFmtId="2" fontId="26" fillId="2" borderId="40" xfId="0" applyNumberFormat="1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6" fillId="3" borderId="0" xfId="2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2" fontId="9" fillId="0" borderId="21" xfId="0" applyNumberFormat="1" applyFont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2" fontId="22" fillId="3" borderId="21" xfId="0" applyNumberFormat="1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2" fontId="22" fillId="2" borderId="21" xfId="0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4" xfId="0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2" fontId="26" fillId="3" borderId="21" xfId="0" applyNumberFormat="1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2" fontId="26" fillId="2" borderId="21" xfId="0" applyNumberFormat="1" applyFont="1" applyFill="1" applyBorder="1" applyAlignment="1">
      <alignment horizontal="center"/>
    </xf>
    <xf numFmtId="0" fontId="26" fillId="3" borderId="20" xfId="0" applyFont="1" applyFill="1" applyBorder="1" applyAlignment="1">
      <alignment horizontal="center"/>
    </xf>
    <xf numFmtId="0" fontId="26" fillId="2" borderId="20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" fillId="2" borderId="2" xfId="0" applyFont="1" applyFill="1" applyBorder="1"/>
    <xf numFmtId="166" fontId="0" fillId="2" borderId="0" xfId="0" applyNumberFormat="1" applyFill="1"/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166" fontId="9" fillId="3" borderId="21" xfId="0" applyNumberFormat="1" applyFont="1" applyFill="1" applyBorder="1" applyAlignment="1">
      <alignment horizontal="center"/>
    </xf>
    <xf numFmtId="166" fontId="9" fillId="2" borderId="21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2" borderId="26" xfId="0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22" fillId="2" borderId="43" xfId="0" applyFont="1" applyFill="1" applyBorder="1" applyAlignment="1">
      <alignment horizontal="center"/>
    </xf>
    <xf numFmtId="2" fontId="22" fillId="2" borderId="0" xfId="0" applyNumberFormat="1" applyFont="1" applyFill="1" applyAlignment="1">
      <alignment horizontal="center"/>
    </xf>
    <xf numFmtId="2" fontId="0" fillId="2" borderId="26" xfId="0" applyNumberFormat="1" applyFill="1" applyBorder="1" applyAlignment="1">
      <alignment horizontal="center"/>
    </xf>
    <xf numFmtId="0" fontId="0" fillId="2" borderId="9" xfId="0" applyFill="1" applyBorder="1"/>
    <xf numFmtId="0" fontId="23" fillId="2" borderId="4" xfId="0" applyFont="1" applyFill="1" applyBorder="1"/>
    <xf numFmtId="0" fontId="1" fillId="2" borderId="33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0" fillId="2" borderId="33" xfId="0" applyFill="1" applyBorder="1"/>
    <xf numFmtId="0" fontId="0" fillId="2" borderId="1" xfId="0" applyFill="1" applyBorder="1"/>
    <xf numFmtId="166" fontId="9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2" fontId="11" fillId="2" borderId="34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/>
    <xf numFmtId="2" fontId="22" fillId="0" borderId="8" xfId="0" applyNumberFormat="1" applyFont="1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30" fillId="2" borderId="4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" fillId="2" borderId="3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1" xfId="3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3" borderId="17" xfId="2" applyFill="1" applyBorder="1" applyAlignment="1">
      <alignment horizontal="center"/>
    </xf>
    <xf numFmtId="0" fontId="6" fillId="3" borderId="18" xfId="2" applyFill="1" applyBorder="1" applyAlignment="1">
      <alignment horizontal="center"/>
    </xf>
    <xf numFmtId="0" fontId="6" fillId="3" borderId="19" xfId="2" applyFill="1" applyBorder="1" applyAlignment="1">
      <alignment horizontal="center"/>
    </xf>
    <xf numFmtId="0" fontId="6" fillId="2" borderId="17" xfId="2" applyFill="1" applyBorder="1" applyAlignment="1">
      <alignment horizontal="center"/>
    </xf>
    <xf numFmtId="0" fontId="6" fillId="2" borderId="18" xfId="2" applyFill="1" applyBorder="1" applyAlignment="1">
      <alignment horizontal="center"/>
    </xf>
    <xf numFmtId="0" fontId="6" fillId="2" borderId="19" xfId="2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R82"/>
  <sheetViews>
    <sheetView showWhiteSpace="0" view="pageLayout" topLeftCell="A5" zoomScaleNormal="85" workbookViewId="0">
      <selection activeCell="S40" sqref="S40"/>
    </sheetView>
  </sheetViews>
  <sheetFormatPr defaultColWidth="9.140625" defaultRowHeight="15" x14ac:dyDescent="0.25"/>
  <cols>
    <col min="1" max="1" width="23.85546875" style="2" bestFit="1" customWidth="1"/>
    <col min="2" max="2" width="10.140625" style="2" bestFit="1" customWidth="1"/>
    <col min="3" max="3" width="6.5703125" style="2" bestFit="1" customWidth="1"/>
    <col min="4" max="4" width="22" style="2" bestFit="1" customWidth="1"/>
    <col min="5" max="5" width="7.5703125" style="2" bestFit="1" customWidth="1"/>
    <col min="6" max="6" width="6.28515625" style="2" bestFit="1" customWidth="1"/>
    <col min="7" max="7" width="22" style="2" bestFit="1" customWidth="1"/>
    <col min="8" max="8" width="8.28515625" style="2" bestFit="1" customWidth="1"/>
    <col min="9" max="9" width="6.28515625" style="2" bestFit="1" customWidth="1"/>
    <col min="10" max="10" width="22" style="2" bestFit="1" customWidth="1"/>
    <col min="11" max="11" width="8.28515625" style="2" bestFit="1" customWidth="1"/>
    <col min="12" max="12" width="6.28515625" style="2" bestFit="1" customWidth="1"/>
    <col min="13" max="13" width="22" style="2" bestFit="1" customWidth="1"/>
    <col min="14" max="14" width="15" style="2" bestFit="1" customWidth="1"/>
    <col min="15" max="15" width="6.28515625" style="2" bestFit="1" customWidth="1"/>
    <col min="16" max="16" width="19.42578125" style="2" bestFit="1" customWidth="1"/>
    <col min="17" max="17" width="8.42578125" style="2" bestFit="1" customWidth="1"/>
    <col min="18" max="18" width="6.5703125" style="2" bestFit="1" customWidth="1"/>
    <col min="19" max="19" width="22.28515625" style="2" bestFit="1" customWidth="1"/>
    <col min="20" max="20" width="9.28515625" style="2" bestFit="1" customWidth="1"/>
    <col min="21" max="21" width="14.7109375" style="2" bestFit="1" customWidth="1"/>
    <col min="22" max="16384" width="9.140625" style="2"/>
  </cols>
  <sheetData>
    <row r="1" spans="1:18" ht="15.75" thickBot="1" x14ac:dyDescent="0.3">
      <c r="A1" s="201" t="s">
        <v>64</v>
      </c>
      <c r="B1" s="202"/>
      <c r="C1" s="203"/>
      <c r="D1" s="83"/>
      <c r="E1" s="84"/>
      <c r="F1" s="84"/>
      <c r="P1" s="194" t="s">
        <v>25</v>
      </c>
      <c r="Q1" s="195"/>
      <c r="R1" s="196"/>
    </row>
    <row r="2" spans="1:18" ht="18" x14ac:dyDescent="0.35">
      <c r="A2" s="15" t="s">
        <v>60</v>
      </c>
      <c r="B2" s="22">
        <v>1</v>
      </c>
      <c r="C2" s="16"/>
      <c r="P2" s="85" t="s">
        <v>15</v>
      </c>
      <c r="Q2" s="86">
        <v>0.1</v>
      </c>
      <c r="R2" s="87" t="s">
        <v>26</v>
      </c>
    </row>
    <row r="3" spans="1:18" ht="18" x14ac:dyDescent="0.35">
      <c r="A3" s="17" t="s">
        <v>61</v>
      </c>
      <c r="B3" s="23">
        <v>1</v>
      </c>
      <c r="C3" s="18"/>
      <c r="P3" s="85" t="s">
        <v>16</v>
      </c>
      <c r="Q3" s="86">
        <v>3.3000000000000002E-2</v>
      </c>
      <c r="R3" s="87" t="s">
        <v>26</v>
      </c>
    </row>
    <row r="4" spans="1:18" ht="18" x14ac:dyDescent="0.35">
      <c r="A4" s="17" t="s">
        <v>34</v>
      </c>
      <c r="B4" s="24">
        <v>1.1499999999999999</v>
      </c>
      <c r="C4" s="18"/>
      <c r="P4" s="85" t="s">
        <v>17</v>
      </c>
      <c r="Q4" s="86">
        <f>2/3*1.6*Q2</f>
        <v>0.10666666666666667</v>
      </c>
      <c r="R4" s="87" t="s">
        <v>26</v>
      </c>
    </row>
    <row r="5" spans="1:18" ht="18" x14ac:dyDescent="0.35">
      <c r="A5" s="17" t="s">
        <v>13</v>
      </c>
      <c r="B5" s="25">
        <v>90</v>
      </c>
      <c r="C5" s="18" t="s">
        <v>30</v>
      </c>
      <c r="P5" s="85" t="s">
        <v>18</v>
      </c>
      <c r="Q5" s="86">
        <f>2/3*2.4*Q3</f>
        <v>5.28E-2</v>
      </c>
      <c r="R5" s="87" t="s">
        <v>26</v>
      </c>
    </row>
    <row r="6" spans="1:18" x14ac:dyDescent="0.25">
      <c r="A6" s="17" t="s">
        <v>54</v>
      </c>
      <c r="B6" s="24" t="s">
        <v>29</v>
      </c>
      <c r="C6" s="18"/>
      <c r="P6" s="85" t="s">
        <v>19</v>
      </c>
      <c r="Q6" s="86">
        <v>3</v>
      </c>
      <c r="R6" s="87"/>
    </row>
    <row r="7" spans="1:18" ht="18" x14ac:dyDescent="0.35">
      <c r="A7" s="17" t="s">
        <v>14</v>
      </c>
      <c r="B7" s="24">
        <f>IF(B6="C",9.5,11.5)</f>
        <v>9.5</v>
      </c>
      <c r="C7" s="18"/>
      <c r="P7" s="85" t="s">
        <v>138</v>
      </c>
      <c r="Q7" s="86">
        <v>1.5</v>
      </c>
      <c r="R7" s="87"/>
    </row>
    <row r="8" spans="1:18" ht="18" x14ac:dyDescent="0.35">
      <c r="A8" s="17" t="s">
        <v>62</v>
      </c>
      <c r="B8" s="24">
        <f>IF(B6="C",900,700)</f>
        <v>900</v>
      </c>
      <c r="C8" s="18" t="s">
        <v>3</v>
      </c>
      <c r="P8" s="85" t="s">
        <v>20</v>
      </c>
      <c r="Q8" s="86">
        <v>12</v>
      </c>
      <c r="R8" s="87" t="s">
        <v>27</v>
      </c>
    </row>
    <row r="9" spans="1:18" x14ac:dyDescent="0.25">
      <c r="A9" s="17" t="s">
        <v>31</v>
      </c>
      <c r="B9" s="23">
        <v>1</v>
      </c>
      <c r="C9" s="18"/>
      <c r="P9" s="85" t="s">
        <v>22</v>
      </c>
      <c r="Q9" s="86">
        <v>4</v>
      </c>
      <c r="R9" s="87" t="s">
        <v>27</v>
      </c>
    </row>
    <row r="10" spans="1:18" ht="18" x14ac:dyDescent="0.35">
      <c r="A10" s="17" t="s">
        <v>63</v>
      </c>
      <c r="B10" s="23">
        <v>0.6</v>
      </c>
      <c r="C10" s="18"/>
      <c r="P10" s="85" t="s">
        <v>24</v>
      </c>
      <c r="Q10" s="86">
        <f>Q5/Q4</f>
        <v>0.49499999999999994</v>
      </c>
      <c r="R10" s="87" t="s">
        <v>27</v>
      </c>
    </row>
    <row r="11" spans="1:18" ht="18" x14ac:dyDescent="0.35">
      <c r="A11" s="192" t="s">
        <v>176</v>
      </c>
      <c r="B11" s="23">
        <v>0.6</v>
      </c>
      <c r="C11" s="18"/>
      <c r="P11" s="85" t="s">
        <v>23</v>
      </c>
      <c r="Q11" s="44">
        <f>IF(Q9&lt;Q10,Q4,IF(Q9&gt;Q8,Q5*Q8/Q9^2,Q5/Q9))</f>
        <v>1.32E-2</v>
      </c>
      <c r="R11" s="87" t="s">
        <v>26</v>
      </c>
    </row>
    <row r="12" spans="1:18" ht="18.75" thickBot="1" x14ac:dyDescent="0.4">
      <c r="A12" s="17" t="s">
        <v>134</v>
      </c>
      <c r="B12" s="184">
        <f>0.00256*B2*B3*B4*B5^2</f>
        <v>23.846399999999999</v>
      </c>
      <c r="C12" s="18"/>
      <c r="P12" s="85" t="s">
        <v>176</v>
      </c>
      <c r="Q12" s="86">
        <v>0.7</v>
      </c>
      <c r="R12" s="87"/>
    </row>
    <row r="13" spans="1:18" ht="18" thickBot="1" x14ac:dyDescent="0.35">
      <c r="A13" s="204" t="s">
        <v>39</v>
      </c>
      <c r="B13" s="205"/>
      <c r="C13" s="206"/>
      <c r="D13" s="207" t="s">
        <v>45</v>
      </c>
      <c r="E13" s="208"/>
      <c r="F13" s="209"/>
      <c r="G13" s="204" t="s">
        <v>46</v>
      </c>
      <c r="H13" s="205"/>
      <c r="I13" s="206"/>
      <c r="J13" s="207" t="s">
        <v>47</v>
      </c>
      <c r="K13" s="208"/>
      <c r="L13" s="209"/>
      <c r="M13" s="61"/>
      <c r="P13" s="85" t="s">
        <v>21</v>
      </c>
      <c r="Q13" s="160">
        <f>MAX(Q12*Q11*Q7/Q6,0.36*Q3*Q7/Q6)</f>
        <v>5.94E-3</v>
      </c>
      <c r="R13" s="87" t="s">
        <v>28</v>
      </c>
    </row>
    <row r="14" spans="1:18" ht="18" thickTop="1" x14ac:dyDescent="0.3">
      <c r="A14" s="88" t="s">
        <v>71</v>
      </c>
      <c r="B14" s="89">
        <v>6</v>
      </c>
      <c r="C14" s="90"/>
      <c r="D14" s="91" t="s">
        <v>71</v>
      </c>
      <c r="E14" s="92">
        <v>7</v>
      </c>
      <c r="F14" s="91"/>
      <c r="G14" s="88" t="s">
        <v>71</v>
      </c>
      <c r="H14" s="89">
        <v>8</v>
      </c>
      <c r="I14" s="90"/>
      <c r="J14" s="93" t="s">
        <v>71</v>
      </c>
      <c r="K14" s="92">
        <v>9</v>
      </c>
      <c r="L14" s="94"/>
      <c r="M14" s="61"/>
      <c r="P14" s="45" t="s">
        <v>53</v>
      </c>
      <c r="Q14" s="48">
        <f>(B29+E29+H29+K29+H54+E54+B54+B68*B72+K54+N54)/B81</f>
        <v>151.7800913924093</v>
      </c>
      <c r="R14" s="46"/>
    </row>
    <row r="15" spans="1:18" s="14" customFormat="1" x14ac:dyDescent="0.25">
      <c r="A15" s="95" t="s">
        <v>4</v>
      </c>
      <c r="B15" s="158">
        <v>0.6875</v>
      </c>
      <c r="C15" s="97" t="s">
        <v>2</v>
      </c>
      <c r="D15" s="14" t="s">
        <v>4</v>
      </c>
      <c r="E15" s="159">
        <v>0.625</v>
      </c>
      <c r="F15" s="14" t="s">
        <v>2</v>
      </c>
      <c r="G15" s="95" t="s">
        <v>4</v>
      </c>
      <c r="H15" s="158">
        <v>0.56252999999999997</v>
      </c>
      <c r="I15" s="97" t="s">
        <v>2</v>
      </c>
      <c r="J15" s="19" t="s">
        <v>4</v>
      </c>
      <c r="K15" s="159">
        <v>0</v>
      </c>
      <c r="L15" s="20" t="s">
        <v>2</v>
      </c>
      <c r="M15" s="19"/>
      <c r="P15" s="85" t="s">
        <v>13</v>
      </c>
      <c r="Q15" s="86">
        <f>Q13*B81</f>
        <v>13.879793143934572</v>
      </c>
      <c r="R15" s="87" t="s">
        <v>1</v>
      </c>
    </row>
    <row r="16" spans="1:18" s="14" customFormat="1" ht="18.75" thickBot="1" x14ac:dyDescent="0.4">
      <c r="A16" s="95" t="s">
        <v>92</v>
      </c>
      <c r="B16" s="96">
        <v>25</v>
      </c>
      <c r="C16" s="97" t="s">
        <v>3</v>
      </c>
      <c r="D16" s="14" t="s">
        <v>92</v>
      </c>
      <c r="E16" s="98">
        <f>B18</f>
        <v>52.07</v>
      </c>
      <c r="G16" s="95" t="s">
        <v>92</v>
      </c>
      <c r="H16" s="96">
        <f>E18</f>
        <v>92.07</v>
      </c>
      <c r="I16" s="97" t="s">
        <v>3</v>
      </c>
      <c r="J16" s="19" t="s">
        <v>92</v>
      </c>
      <c r="K16" s="98">
        <f>H18</f>
        <v>132.07</v>
      </c>
      <c r="L16" s="20" t="s">
        <v>3</v>
      </c>
      <c r="M16" s="19"/>
      <c r="P16" s="99" t="s">
        <v>122</v>
      </c>
      <c r="Q16" s="100">
        <f>Q15*Q14</f>
        <v>2106.6762718941254</v>
      </c>
      <c r="R16" s="47" t="s">
        <v>67</v>
      </c>
    </row>
    <row r="17" spans="1:18" s="14" customFormat="1" x14ac:dyDescent="0.25">
      <c r="A17" s="95" t="s">
        <v>41</v>
      </c>
      <c r="B17" s="96">
        <v>27.07</v>
      </c>
      <c r="C17" s="97" t="s">
        <v>3</v>
      </c>
      <c r="D17" s="14" t="s">
        <v>41</v>
      </c>
      <c r="E17" s="98">
        <v>40</v>
      </c>
      <c r="F17" s="14" t="s">
        <v>3</v>
      </c>
      <c r="G17" s="95" t="s">
        <v>41</v>
      </c>
      <c r="H17" s="96">
        <v>40</v>
      </c>
      <c r="I17" s="97" t="s">
        <v>3</v>
      </c>
      <c r="J17" s="19" t="s">
        <v>41</v>
      </c>
      <c r="K17" s="98">
        <v>0</v>
      </c>
      <c r="L17" s="20" t="s">
        <v>3</v>
      </c>
      <c r="M17" s="19"/>
      <c r="P17" s="45"/>
      <c r="R17" s="46"/>
    </row>
    <row r="18" spans="1:18" s="14" customFormat="1" ht="18" x14ac:dyDescent="0.35">
      <c r="A18" s="95" t="s">
        <v>91</v>
      </c>
      <c r="B18" s="96">
        <f>B16+B17</f>
        <v>52.07</v>
      </c>
      <c r="C18" s="97" t="s">
        <v>3</v>
      </c>
      <c r="D18" s="14" t="s">
        <v>91</v>
      </c>
      <c r="E18" s="98">
        <f>E16+E17</f>
        <v>92.07</v>
      </c>
      <c r="G18" s="95" t="s">
        <v>91</v>
      </c>
      <c r="H18" s="96">
        <f>H16+H17</f>
        <v>132.07</v>
      </c>
      <c r="I18" s="97" t="s">
        <v>3</v>
      </c>
      <c r="J18" s="19" t="s">
        <v>91</v>
      </c>
      <c r="K18" s="98">
        <f>K16+K17</f>
        <v>132.07</v>
      </c>
      <c r="L18" s="20" t="s">
        <v>3</v>
      </c>
      <c r="M18" s="19"/>
      <c r="P18" s="45"/>
      <c r="R18" s="46"/>
    </row>
    <row r="19" spans="1:18" s="14" customFormat="1" x14ac:dyDescent="0.25">
      <c r="A19" s="95" t="s">
        <v>40</v>
      </c>
      <c r="B19" s="96">
        <v>9</v>
      </c>
      <c r="C19" s="97" t="s">
        <v>3</v>
      </c>
      <c r="D19" s="14" t="s">
        <v>40</v>
      </c>
      <c r="E19" s="98">
        <v>9</v>
      </c>
      <c r="F19" s="14" t="s">
        <v>3</v>
      </c>
      <c r="G19" s="95" t="s">
        <v>40</v>
      </c>
      <c r="H19" s="96">
        <v>9</v>
      </c>
      <c r="I19" s="97" t="s">
        <v>3</v>
      </c>
      <c r="J19" s="19" t="s">
        <v>40</v>
      </c>
      <c r="K19" s="98">
        <v>0</v>
      </c>
      <c r="L19" s="20" t="s">
        <v>3</v>
      </c>
      <c r="M19" s="19"/>
      <c r="P19" s="45"/>
      <c r="R19" s="46"/>
    </row>
    <row r="20" spans="1:18" s="14" customFormat="1" ht="18" x14ac:dyDescent="0.35">
      <c r="A20" s="101" t="s">
        <v>149</v>
      </c>
      <c r="B20" s="102">
        <f>IF(B15=0,0,B19*B17)</f>
        <v>243.63</v>
      </c>
      <c r="C20" s="103" t="s">
        <v>150</v>
      </c>
      <c r="D20" s="104" t="s">
        <v>149</v>
      </c>
      <c r="E20" s="105">
        <f>IF(E15=0,0,E19*E17)</f>
        <v>360</v>
      </c>
      <c r="F20" s="104" t="s">
        <v>150</v>
      </c>
      <c r="G20" s="101" t="s">
        <v>149</v>
      </c>
      <c r="H20" s="102">
        <f>IF(H15=0,0,H19*H17)</f>
        <v>360</v>
      </c>
      <c r="I20" s="103" t="s">
        <v>150</v>
      </c>
      <c r="J20" s="106" t="s">
        <v>149</v>
      </c>
      <c r="K20" s="105">
        <f>IF(K15=0,0,K19*K17)</f>
        <v>0</v>
      </c>
      <c r="L20" s="107" t="s">
        <v>150</v>
      </c>
      <c r="M20" s="19"/>
      <c r="P20" s="45"/>
      <c r="R20" s="46"/>
    </row>
    <row r="21" spans="1:18" s="14" customFormat="1" x14ac:dyDescent="0.25">
      <c r="A21" s="108" t="s">
        <v>86</v>
      </c>
      <c r="B21" s="109">
        <f>B16+B17/2</f>
        <v>38.534999999999997</v>
      </c>
      <c r="C21" s="110" t="s">
        <v>3</v>
      </c>
      <c r="D21" s="2" t="s">
        <v>86</v>
      </c>
      <c r="E21" s="111">
        <f>E16+E17/2</f>
        <v>72.069999999999993</v>
      </c>
      <c r="F21" s="2" t="s">
        <v>3</v>
      </c>
      <c r="G21" s="108" t="s">
        <v>86</v>
      </c>
      <c r="H21" s="109">
        <f>H16+H17/2</f>
        <v>112.07</v>
      </c>
      <c r="I21" s="110" t="s">
        <v>3</v>
      </c>
      <c r="J21" s="4" t="s">
        <v>86</v>
      </c>
      <c r="K21" s="111">
        <f>K16+K17/2</f>
        <v>132.07</v>
      </c>
      <c r="L21" s="5" t="s">
        <v>3</v>
      </c>
      <c r="M21" s="19"/>
      <c r="P21" s="45"/>
      <c r="R21" s="46"/>
    </row>
    <row r="22" spans="1:18" s="14" customFormat="1" ht="18" x14ac:dyDescent="0.35">
      <c r="A22" s="108" t="s">
        <v>151</v>
      </c>
      <c r="B22" s="109">
        <f>2.01*(MAX(B16,15)/$B$8)^(2/$B$7)</f>
        <v>0.94526466907719109</v>
      </c>
      <c r="C22" s="110"/>
      <c r="D22" s="2" t="s">
        <v>151</v>
      </c>
      <c r="E22" s="111">
        <f>2.01*(MAX(E16,15)/$B$8)^(2/$B$7)</f>
        <v>1.1031564902034376</v>
      </c>
      <c r="F22" s="2"/>
      <c r="G22" s="108" t="s">
        <v>151</v>
      </c>
      <c r="H22" s="109">
        <f>2.01*(MAX(H16,15)/$B$8)^(2/$B$7)</f>
        <v>1.243795045181028</v>
      </c>
      <c r="I22" s="110"/>
      <c r="J22" s="4" t="s">
        <v>151</v>
      </c>
      <c r="K22" s="111">
        <f>2.01*(MAX(K16,15)/$B$8)^(2/$B$7)</f>
        <v>1.3419469760730833</v>
      </c>
      <c r="L22" s="5"/>
      <c r="M22" s="19"/>
      <c r="P22" s="45"/>
      <c r="R22" s="46"/>
    </row>
    <row r="23" spans="1:18" s="14" customFormat="1" ht="18" x14ac:dyDescent="0.35">
      <c r="A23" s="108" t="s">
        <v>152</v>
      </c>
      <c r="B23" s="109">
        <f>2.01*(MAX(B18,15)/$B$8)^(2/$B$7)</f>
        <v>1.1031564902034376</v>
      </c>
      <c r="C23" s="110"/>
      <c r="D23" s="2" t="s">
        <v>152</v>
      </c>
      <c r="E23" s="111">
        <f>2.01*(MAX(E18,15)/$B$8)^(2/$B$7)</f>
        <v>1.243795045181028</v>
      </c>
      <c r="F23" s="2"/>
      <c r="G23" s="108" t="s">
        <v>152</v>
      </c>
      <c r="H23" s="109">
        <f>2.01*(MAX(H18,15)/$B$8)^(2/$B$7)</f>
        <v>1.3419469760730833</v>
      </c>
      <c r="I23" s="110"/>
      <c r="J23" s="4" t="s">
        <v>152</v>
      </c>
      <c r="K23" s="111">
        <f>2.01*(MAX(K18,15)/$B$8)^(2/$B$7)</f>
        <v>1.3419469760730833</v>
      </c>
      <c r="L23" s="5"/>
      <c r="M23" s="19"/>
      <c r="P23" s="45"/>
      <c r="R23" s="46"/>
    </row>
    <row r="24" spans="1:18" s="14" customFormat="1" ht="18" x14ac:dyDescent="0.35">
      <c r="A24" s="108" t="s">
        <v>153</v>
      </c>
      <c r="B24" s="109">
        <f>B22*$B$12</f>
        <v>22.541159404682329</v>
      </c>
      <c r="C24" s="110" t="s">
        <v>32</v>
      </c>
      <c r="D24" s="2" t="s">
        <v>153</v>
      </c>
      <c r="E24" s="111">
        <f>E22*$B$12</f>
        <v>26.306310927987255</v>
      </c>
      <c r="F24" s="2" t="s">
        <v>32</v>
      </c>
      <c r="G24" s="108" t="s">
        <v>153</v>
      </c>
      <c r="H24" s="109">
        <f>H22*$B$12</f>
        <v>29.660034165404866</v>
      </c>
      <c r="I24" s="110" t="s">
        <v>32</v>
      </c>
      <c r="J24" s="4" t="s">
        <v>153</v>
      </c>
      <c r="K24" s="111">
        <f>K22*$B$12</f>
        <v>32.000604370229176</v>
      </c>
      <c r="L24" s="5" t="s">
        <v>32</v>
      </c>
      <c r="M24" s="19"/>
      <c r="P24" s="45"/>
      <c r="R24" s="46"/>
    </row>
    <row r="25" spans="1:18" s="14" customFormat="1" ht="18" x14ac:dyDescent="0.35">
      <c r="A25" s="108" t="s">
        <v>154</v>
      </c>
      <c r="B25" s="109">
        <f>B23*$B$12</f>
        <v>26.306310927987255</v>
      </c>
      <c r="C25" s="110" t="s">
        <v>32</v>
      </c>
      <c r="D25" s="2" t="s">
        <v>154</v>
      </c>
      <c r="E25" s="111">
        <f>E23*$B$12</f>
        <v>29.660034165404866</v>
      </c>
      <c r="F25" s="2" t="s">
        <v>32</v>
      </c>
      <c r="G25" s="108" t="s">
        <v>154</v>
      </c>
      <c r="H25" s="109">
        <f>H23*$B$12</f>
        <v>32.000604370229176</v>
      </c>
      <c r="I25" s="110" t="s">
        <v>32</v>
      </c>
      <c r="J25" s="4" t="s">
        <v>154</v>
      </c>
      <c r="K25" s="111">
        <f>K23*$B$12</f>
        <v>32.000604370229176</v>
      </c>
      <c r="L25" s="5" t="s">
        <v>32</v>
      </c>
      <c r="M25" s="19"/>
      <c r="P25" s="45"/>
      <c r="R25" s="46"/>
    </row>
    <row r="26" spans="1:18" s="14" customFormat="1" x14ac:dyDescent="0.25">
      <c r="A26" s="108" t="s">
        <v>33</v>
      </c>
      <c r="B26" s="109">
        <f>MAX((B24+B25)/2*$B$9*$B$10,30*$B$10)*B20/1000</f>
        <v>4.3853400000000002</v>
      </c>
      <c r="C26" s="110" t="s">
        <v>1</v>
      </c>
      <c r="D26" s="2" t="s">
        <v>33</v>
      </c>
      <c r="E26" s="111">
        <f>MAX((E24+E25)/2*$B$9*$B$10,30*$B$10)*E20/1000</f>
        <v>6.48</v>
      </c>
      <c r="F26" s="2" t="s">
        <v>1</v>
      </c>
      <c r="G26" s="108" t="s">
        <v>33</v>
      </c>
      <c r="H26" s="109">
        <f>MAX((H24+H25)/2*$B$9*$B$10,30*$B$10)*H20/1000</f>
        <v>6.659348961848476</v>
      </c>
      <c r="I26" s="110" t="s">
        <v>1</v>
      </c>
      <c r="J26" s="4" t="s">
        <v>33</v>
      </c>
      <c r="K26" s="111">
        <f>MAX((K24+K25)/2*$B$9*$B$10,30*$B$10)*K20/1000</f>
        <v>0</v>
      </c>
      <c r="L26" s="5" t="s">
        <v>1</v>
      </c>
      <c r="P26" s="112" t="s">
        <v>68</v>
      </c>
      <c r="Q26" s="113">
        <f>K26+H26+E26+B26</f>
        <v>17.524688961848476</v>
      </c>
      <c r="R26" s="114" t="s">
        <v>1</v>
      </c>
    </row>
    <row r="27" spans="1:18" s="14" customFormat="1" x14ac:dyDescent="0.25">
      <c r="A27" s="108" t="s">
        <v>57</v>
      </c>
      <c r="B27" s="109">
        <f>B16+((B24*B17^2/2+2/3*0.5*B17^2*(B25-B24))/(B24*B17+0.5*B17*(B25-B24)))</f>
        <v>38.882758205429177</v>
      </c>
      <c r="C27" s="110" t="s">
        <v>3</v>
      </c>
      <c r="D27" s="2" t="s">
        <v>57</v>
      </c>
      <c r="E27" s="111">
        <f>E16+((E24*E17^2/2+2/3*0.5*E17^2*(E25-E24))/(E24*E17+0.5*E17*(E25-E24)))</f>
        <v>72.469492853764308</v>
      </c>
      <c r="F27" s="2" t="s">
        <v>3</v>
      </c>
      <c r="G27" s="108" t="s">
        <v>57</v>
      </c>
      <c r="H27" s="109">
        <f>H16+((H24*H17^2/2+2/3*0.5*H17^2*(H25-H24))/(H24*H17+0.5*H17*(H25-H24)))</f>
        <v>112.32305935416932</v>
      </c>
      <c r="I27" s="110" t="s">
        <v>3</v>
      </c>
      <c r="J27" s="4" t="s">
        <v>57</v>
      </c>
      <c r="K27" s="111">
        <f>IF(K15=0,0,K16+((K24*K17^2/2+2/3*0.5*K17^2*(K25-K24))/(K24*K17+0.5*K17*(K25-K24))))</f>
        <v>0</v>
      </c>
      <c r="L27" s="5" t="s">
        <v>3</v>
      </c>
      <c r="P27" s="45"/>
      <c r="R27" s="87"/>
    </row>
    <row r="28" spans="1:18" s="14" customFormat="1" x14ac:dyDescent="0.25">
      <c r="A28" s="108" t="s">
        <v>65</v>
      </c>
      <c r="B28" s="109">
        <f>B27*B26</f>
        <v>170.51411486859681</v>
      </c>
      <c r="C28" s="110" t="s">
        <v>67</v>
      </c>
      <c r="D28" s="115" t="s">
        <v>65</v>
      </c>
      <c r="E28" s="111">
        <f t="shared" ref="E28" si="0">E27*E26</f>
        <v>469.60231369239273</v>
      </c>
      <c r="F28" s="5" t="s">
        <v>67</v>
      </c>
      <c r="G28" s="116" t="s">
        <v>65</v>
      </c>
      <c r="H28" s="109">
        <f t="shared" ref="H28" si="1">H27*H26</f>
        <v>747.99844870183222</v>
      </c>
      <c r="I28" s="110" t="s">
        <v>67</v>
      </c>
      <c r="J28" s="115" t="s">
        <v>65</v>
      </c>
      <c r="K28" s="111">
        <f t="shared" ref="K28" si="2">K27*K26</f>
        <v>0</v>
      </c>
      <c r="L28" s="5" t="s">
        <v>67</v>
      </c>
      <c r="P28" s="112" t="s">
        <v>69</v>
      </c>
      <c r="Q28" s="113">
        <f>K28+H28+E28+B28</f>
        <v>1388.1148772628219</v>
      </c>
      <c r="R28" s="114" t="s">
        <v>67</v>
      </c>
    </row>
    <row r="29" spans="1:18" s="14" customFormat="1" x14ac:dyDescent="0.25">
      <c r="A29" s="108" t="s">
        <v>117</v>
      </c>
      <c r="B29" s="109">
        <f>B30*B21</f>
        <v>822.71628657187136</v>
      </c>
      <c r="C29" s="110"/>
      <c r="D29" s="115" t="s">
        <v>117</v>
      </c>
      <c r="E29" s="111">
        <f>E30*E21</f>
        <v>2068.1458754055006</v>
      </c>
      <c r="F29" s="2"/>
      <c r="G29" s="116" t="s">
        <v>117</v>
      </c>
      <c r="H29" s="109">
        <f>H30*H21</f>
        <v>2896.2382520974197</v>
      </c>
      <c r="I29" s="110"/>
      <c r="J29" s="115" t="s">
        <v>117</v>
      </c>
      <c r="K29" s="111">
        <f>K30*K21</f>
        <v>0</v>
      </c>
      <c r="L29" s="5"/>
      <c r="P29" s="45"/>
      <c r="Q29" s="48"/>
      <c r="R29" s="46"/>
    </row>
    <row r="30" spans="1:18" s="11" customFormat="1" ht="15.75" thickBot="1" x14ac:dyDescent="0.3">
      <c r="A30" s="117" t="s">
        <v>5</v>
      </c>
      <c r="B30" s="118">
        <f>PI()/4*(B19^2-(B19-2*B15/12)^2)*B17*490/1000</f>
        <v>21.349845246447941</v>
      </c>
      <c r="C30" s="119" t="s">
        <v>1</v>
      </c>
      <c r="D30" s="120" t="s">
        <v>5</v>
      </c>
      <c r="E30" s="121">
        <f>PI()/4*(E19^2-(E19-2*E15/12)^2)*E17*490/1000</f>
        <v>28.696349041286261</v>
      </c>
      <c r="F30" s="120" t="s">
        <v>1</v>
      </c>
      <c r="G30" s="117" t="s">
        <v>5</v>
      </c>
      <c r="H30" s="118">
        <f>PI()/4*(H19^2-(H19-2*H15/12)^2)*H17*490/1000</f>
        <v>25.8431181591632</v>
      </c>
      <c r="I30" s="119" t="s">
        <v>1</v>
      </c>
      <c r="J30" s="122" t="s">
        <v>5</v>
      </c>
      <c r="K30" s="121">
        <f>PI()/4*(K19^2-(K19-2*K15/12)^2)*K17*490/1000</f>
        <v>0</v>
      </c>
      <c r="L30" s="123" t="s">
        <v>1</v>
      </c>
      <c r="P30" s="124" t="s">
        <v>35</v>
      </c>
      <c r="Q30" s="125">
        <f>K30+H30+E30+B30</f>
        <v>75.889312446897407</v>
      </c>
      <c r="R30" s="126" t="s">
        <v>1</v>
      </c>
    </row>
    <row r="31" spans="1:18" ht="18" thickBot="1" x14ac:dyDescent="0.35">
      <c r="A31" s="204" t="s">
        <v>38</v>
      </c>
      <c r="B31" s="205"/>
      <c r="C31" s="206"/>
      <c r="D31" s="207" t="s">
        <v>48</v>
      </c>
      <c r="E31" s="208"/>
      <c r="F31" s="209"/>
      <c r="G31" s="204" t="s">
        <v>49</v>
      </c>
      <c r="H31" s="205"/>
      <c r="I31" s="206"/>
      <c r="J31" s="207" t="s">
        <v>50</v>
      </c>
      <c r="K31" s="208"/>
      <c r="L31" s="209"/>
      <c r="M31" s="204" t="s">
        <v>51</v>
      </c>
      <c r="N31" s="205"/>
      <c r="O31" s="205"/>
      <c r="P31" s="127"/>
      <c r="Q31" s="128"/>
      <c r="R31" s="129"/>
    </row>
    <row r="32" spans="1:18" ht="18" thickTop="1" x14ac:dyDescent="0.3">
      <c r="A32" s="88" t="s">
        <v>71</v>
      </c>
      <c r="B32" s="89">
        <v>1</v>
      </c>
      <c r="C32" s="90"/>
      <c r="D32" s="91" t="s">
        <v>71</v>
      </c>
      <c r="E32" s="92">
        <v>2</v>
      </c>
      <c r="F32" s="91"/>
      <c r="G32" s="88" t="s">
        <v>71</v>
      </c>
      <c r="H32" s="89">
        <v>3</v>
      </c>
      <c r="I32" s="90"/>
      <c r="J32" s="93" t="s">
        <v>71</v>
      </c>
      <c r="K32" s="92">
        <v>4</v>
      </c>
      <c r="L32" s="94"/>
      <c r="M32" s="88" t="s">
        <v>71</v>
      </c>
      <c r="N32" s="89">
        <v>5</v>
      </c>
      <c r="O32" s="130"/>
      <c r="P32" s="127"/>
      <c r="Q32" s="128"/>
      <c r="R32" s="129"/>
    </row>
    <row r="33" spans="1:18" s="14" customFormat="1" x14ac:dyDescent="0.25">
      <c r="A33" s="95" t="s">
        <v>4</v>
      </c>
      <c r="B33" s="158">
        <v>0.5</v>
      </c>
      <c r="C33" s="97" t="s">
        <v>2</v>
      </c>
      <c r="D33" s="14" t="s">
        <v>4</v>
      </c>
      <c r="E33" s="159">
        <f>9/16</f>
        <v>0.5625</v>
      </c>
      <c r="F33" s="14" t="s">
        <v>2</v>
      </c>
      <c r="G33" s="95" t="s">
        <v>4</v>
      </c>
      <c r="H33" s="158">
        <f>5/8</f>
        <v>0.625</v>
      </c>
      <c r="I33" s="97" t="s">
        <v>2</v>
      </c>
      <c r="J33" s="19" t="s">
        <v>4</v>
      </c>
      <c r="K33" s="98">
        <v>0.75</v>
      </c>
      <c r="L33" s="20" t="s">
        <v>2</v>
      </c>
      <c r="M33" s="95" t="s">
        <v>4</v>
      </c>
      <c r="N33" s="96">
        <v>0</v>
      </c>
      <c r="O33" s="131" t="s">
        <v>2</v>
      </c>
      <c r="P33" s="45"/>
      <c r="R33" s="46"/>
    </row>
    <row r="34" spans="1:18" s="14" customFormat="1" ht="18" x14ac:dyDescent="0.35">
      <c r="A34" s="95" t="s">
        <v>92</v>
      </c>
      <c r="B34" s="96">
        <v>0</v>
      </c>
      <c r="C34" s="97" t="s">
        <v>3</v>
      </c>
      <c r="D34" s="14" t="s">
        <v>92</v>
      </c>
      <c r="E34" s="98">
        <f>B36</f>
        <v>7</v>
      </c>
      <c r="F34" s="14" t="s">
        <v>3</v>
      </c>
      <c r="G34" s="95" t="s">
        <v>92</v>
      </c>
      <c r="H34" s="96">
        <f>E36</f>
        <v>14</v>
      </c>
      <c r="I34" s="97" t="s">
        <v>3</v>
      </c>
      <c r="J34" s="19" t="s">
        <v>92</v>
      </c>
      <c r="K34" s="98">
        <f>H36</f>
        <v>21</v>
      </c>
      <c r="L34" s="20" t="s">
        <v>3</v>
      </c>
      <c r="M34" s="95" t="s">
        <v>92</v>
      </c>
      <c r="N34" s="96">
        <v>0</v>
      </c>
      <c r="O34" s="131" t="s">
        <v>3</v>
      </c>
      <c r="P34" s="45"/>
      <c r="R34" s="46"/>
    </row>
    <row r="35" spans="1:18" s="14" customFormat="1" x14ac:dyDescent="0.25">
      <c r="A35" s="95" t="s">
        <v>8</v>
      </c>
      <c r="B35" s="96">
        <v>7</v>
      </c>
      <c r="C35" s="97" t="s">
        <v>3</v>
      </c>
      <c r="D35" s="14" t="s">
        <v>8</v>
      </c>
      <c r="E35" s="98">
        <v>7</v>
      </c>
      <c r="F35" s="14" t="s">
        <v>3</v>
      </c>
      <c r="G35" s="95" t="s">
        <v>8</v>
      </c>
      <c r="H35" s="96">
        <v>7</v>
      </c>
      <c r="I35" s="97" t="s">
        <v>3</v>
      </c>
      <c r="J35" s="19" t="s">
        <v>8</v>
      </c>
      <c r="K35" s="98">
        <v>4</v>
      </c>
      <c r="L35" s="20" t="s">
        <v>3</v>
      </c>
      <c r="M35" s="95" t="s">
        <v>8</v>
      </c>
      <c r="N35" s="96">
        <v>0</v>
      </c>
      <c r="O35" s="131" t="s">
        <v>3</v>
      </c>
      <c r="P35" s="45"/>
      <c r="R35" s="46"/>
    </row>
    <row r="36" spans="1:18" s="14" customFormat="1" ht="18" x14ac:dyDescent="0.35">
      <c r="A36" s="95" t="s">
        <v>91</v>
      </c>
      <c r="B36" s="96">
        <f>B35+B34</f>
        <v>7</v>
      </c>
      <c r="C36" s="97" t="s">
        <v>3</v>
      </c>
      <c r="D36" s="14" t="s">
        <v>91</v>
      </c>
      <c r="E36" s="98">
        <f>E35+E34</f>
        <v>14</v>
      </c>
      <c r="F36" s="14" t="s">
        <v>3</v>
      </c>
      <c r="G36" s="95" t="s">
        <v>91</v>
      </c>
      <c r="H36" s="96">
        <f>H35+H34</f>
        <v>21</v>
      </c>
      <c r="I36" s="97" t="s">
        <v>3</v>
      </c>
      <c r="J36" s="19" t="s">
        <v>91</v>
      </c>
      <c r="K36" s="98">
        <f>K35+K34</f>
        <v>25</v>
      </c>
      <c r="L36" s="20" t="s">
        <v>3</v>
      </c>
      <c r="M36" s="95" t="s">
        <v>91</v>
      </c>
      <c r="N36" s="96">
        <f>N35+N34</f>
        <v>0</v>
      </c>
      <c r="O36" s="131" t="s">
        <v>3</v>
      </c>
      <c r="P36" s="45"/>
      <c r="R36" s="46"/>
    </row>
    <row r="37" spans="1:18" s="14" customFormat="1" x14ac:dyDescent="0.25">
      <c r="A37" s="95" t="s">
        <v>7</v>
      </c>
      <c r="B37" s="96">
        <v>25</v>
      </c>
      <c r="C37" s="97" t="s">
        <v>3</v>
      </c>
      <c r="D37" s="14" t="s">
        <v>7</v>
      </c>
      <c r="E37" s="98">
        <f>B38</f>
        <v>20.52</v>
      </c>
      <c r="F37" s="14" t="s">
        <v>3</v>
      </c>
      <c r="G37" s="95" t="s">
        <v>7</v>
      </c>
      <c r="H37" s="96">
        <f>E38</f>
        <v>16.04</v>
      </c>
      <c r="I37" s="97" t="s">
        <v>3</v>
      </c>
      <c r="J37" s="19" t="s">
        <v>7</v>
      </c>
      <c r="K37" s="98">
        <f>H38</f>
        <v>11.56</v>
      </c>
      <c r="L37" s="20" t="s">
        <v>3</v>
      </c>
      <c r="M37" s="95" t="s">
        <v>7</v>
      </c>
      <c r="N37" s="96">
        <v>0</v>
      </c>
      <c r="O37" s="131" t="s">
        <v>3</v>
      </c>
      <c r="P37" s="45"/>
      <c r="R37" s="46"/>
    </row>
    <row r="38" spans="1:18" s="14" customFormat="1" x14ac:dyDescent="0.25">
      <c r="A38" s="95" t="s">
        <v>6</v>
      </c>
      <c r="B38" s="96">
        <f>$B$37-($B$37-9)/(25)*(B35)</f>
        <v>20.52</v>
      </c>
      <c r="C38" s="97" t="s">
        <v>3</v>
      </c>
      <c r="D38" s="14" t="s">
        <v>6</v>
      </c>
      <c r="E38" s="132">
        <f>$B$37-($B$37-9)/(25)*(B35+E35)</f>
        <v>16.04</v>
      </c>
      <c r="F38" s="14" t="s">
        <v>3</v>
      </c>
      <c r="G38" s="95" t="s">
        <v>6</v>
      </c>
      <c r="H38" s="96">
        <f>$B$37-($B$37-9)/(25)*(B35+E35+H35)</f>
        <v>11.56</v>
      </c>
      <c r="I38" s="97" t="s">
        <v>3</v>
      </c>
      <c r="J38" s="19" t="s">
        <v>6</v>
      </c>
      <c r="K38" s="98">
        <f>$B$37-($B$37-9)/(25)*(B35+E35+H35+K35)</f>
        <v>9</v>
      </c>
      <c r="L38" s="20" t="s">
        <v>3</v>
      </c>
      <c r="M38" s="95" t="s">
        <v>6</v>
      </c>
      <c r="N38" s="96">
        <v>0</v>
      </c>
      <c r="O38" s="131" t="s">
        <v>3</v>
      </c>
      <c r="P38" s="45"/>
      <c r="R38" s="46"/>
    </row>
    <row r="39" spans="1:18" ht="16.5" x14ac:dyDescent="0.25">
      <c r="A39" s="133" t="s">
        <v>9</v>
      </c>
      <c r="B39" s="134">
        <f>ROUND(PI()*B38^2/4,2)</f>
        <v>330.71</v>
      </c>
      <c r="C39" s="135" t="s">
        <v>155</v>
      </c>
      <c r="D39" s="128" t="s">
        <v>9</v>
      </c>
      <c r="E39" s="136">
        <f>ROUND(PI()*E38^2/4,2)</f>
        <v>202.07</v>
      </c>
      <c r="F39" s="128" t="s">
        <v>155</v>
      </c>
      <c r="G39" s="133" t="s">
        <v>9</v>
      </c>
      <c r="H39" s="134">
        <f>ROUND(PI()*H38^2/4,2)</f>
        <v>104.96</v>
      </c>
      <c r="I39" s="135" t="s">
        <v>155</v>
      </c>
      <c r="J39" s="61" t="s">
        <v>9</v>
      </c>
      <c r="K39" s="136">
        <f>ROUND(PI()*K38^2/4,2)</f>
        <v>63.62</v>
      </c>
      <c r="L39" s="137" t="s">
        <v>155</v>
      </c>
      <c r="M39" s="133" t="s">
        <v>9</v>
      </c>
      <c r="N39" s="134">
        <f>ROUND(PI()*N38^2/4,2)</f>
        <v>0</v>
      </c>
      <c r="O39" s="138" t="s">
        <v>155</v>
      </c>
      <c r="P39" s="127"/>
      <c r="Q39" s="128"/>
      <c r="R39" s="129"/>
    </row>
    <row r="40" spans="1:18" ht="16.5" x14ac:dyDescent="0.25">
      <c r="A40" s="133" t="s">
        <v>10</v>
      </c>
      <c r="B40" s="134">
        <f>ROUND(PI()*B37^2/4,2)</f>
        <v>490.87</v>
      </c>
      <c r="C40" s="135" t="s">
        <v>155</v>
      </c>
      <c r="D40" s="128" t="s">
        <v>10</v>
      </c>
      <c r="E40" s="136">
        <f>ROUND(PI()*E37^2/4,2)</f>
        <v>330.71</v>
      </c>
      <c r="F40" s="128" t="s">
        <v>155</v>
      </c>
      <c r="G40" s="133" t="s">
        <v>10</v>
      </c>
      <c r="H40" s="134">
        <f>ROUND(PI()*H37^2/4,2)</f>
        <v>202.07</v>
      </c>
      <c r="I40" s="135" t="s">
        <v>155</v>
      </c>
      <c r="J40" s="61" t="s">
        <v>10</v>
      </c>
      <c r="K40" s="136">
        <f>ROUND(PI()*K37^2/4,2)</f>
        <v>104.96</v>
      </c>
      <c r="L40" s="137" t="s">
        <v>155</v>
      </c>
      <c r="M40" s="133" t="s">
        <v>10</v>
      </c>
      <c r="N40" s="134">
        <f>ROUND(PI()*N37^2/4,2)</f>
        <v>0</v>
      </c>
      <c r="O40" s="138" t="s">
        <v>155</v>
      </c>
      <c r="P40" s="127"/>
      <c r="Q40" s="128"/>
      <c r="R40" s="129"/>
    </row>
    <row r="41" spans="1:18" ht="16.5" x14ac:dyDescent="0.25">
      <c r="A41" s="133" t="s">
        <v>42</v>
      </c>
      <c r="B41" s="134">
        <f>ROUND(PI()*(B38-2*B33/12)^2/4,2)</f>
        <v>328.03</v>
      </c>
      <c r="C41" s="135" t="s">
        <v>155</v>
      </c>
      <c r="D41" s="128" t="s">
        <v>42</v>
      </c>
      <c r="E41" s="136">
        <f>ROUND(PI()*(E38-2*E33/12)^2/4,2)</f>
        <v>199.71</v>
      </c>
      <c r="F41" s="128" t="s">
        <v>155</v>
      </c>
      <c r="G41" s="133" t="s">
        <v>42</v>
      </c>
      <c r="H41" s="134">
        <f>ROUND(PI()*(H38-2*H33/12)^2/4,2)</f>
        <v>103.07</v>
      </c>
      <c r="I41" s="135" t="s">
        <v>155</v>
      </c>
      <c r="J41" s="61" t="s">
        <v>42</v>
      </c>
      <c r="K41" s="136">
        <f>ROUND(PI()*(K38-2*K33/12)^2/4,2)</f>
        <v>61.86</v>
      </c>
      <c r="L41" s="137" t="s">
        <v>155</v>
      </c>
      <c r="M41" s="133" t="s">
        <v>42</v>
      </c>
      <c r="N41" s="134">
        <f>ROUND(PI()*(N38-2*N33/12)^2/4,2)</f>
        <v>0</v>
      </c>
      <c r="O41" s="138" t="s">
        <v>155</v>
      </c>
      <c r="P41" s="127"/>
      <c r="Q41" s="128"/>
      <c r="R41" s="129"/>
    </row>
    <row r="42" spans="1:18" ht="16.5" x14ac:dyDescent="0.25">
      <c r="A42" s="133" t="s">
        <v>43</v>
      </c>
      <c r="B42" s="134">
        <f>ROUND(PI()*(B37-2*B33/12)^2/4,2)</f>
        <v>487.61</v>
      </c>
      <c r="C42" s="135" t="s">
        <v>155</v>
      </c>
      <c r="D42" s="128" t="s">
        <v>43</v>
      </c>
      <c r="E42" s="136">
        <f>ROUND(PI()*(E37-2*E33/12)^2/4,2)</f>
        <v>327.69</v>
      </c>
      <c r="F42" s="128" t="s">
        <v>155</v>
      </c>
      <c r="G42" s="133" t="s">
        <v>43</v>
      </c>
      <c r="H42" s="134">
        <f>ROUND(PI()*(H37-2*H33/12)^2/4,2)</f>
        <v>199.45</v>
      </c>
      <c r="I42" s="135" t="s">
        <v>155</v>
      </c>
      <c r="J42" s="61" t="s">
        <v>43</v>
      </c>
      <c r="K42" s="136">
        <f>ROUND(PI()*(K37-2*K33/12)^2/4,2)</f>
        <v>102.7</v>
      </c>
      <c r="L42" s="137" t="s">
        <v>155</v>
      </c>
      <c r="M42" s="133" t="s">
        <v>43</v>
      </c>
      <c r="N42" s="134">
        <f>ROUND(PI()*(N37-2*N33/12)^2/4,2)</f>
        <v>0</v>
      </c>
      <c r="O42" s="138" t="s">
        <v>155</v>
      </c>
      <c r="P42" s="127"/>
      <c r="Q42" s="128"/>
      <c r="R42" s="129"/>
    </row>
    <row r="43" spans="1:18" ht="16.5" x14ac:dyDescent="0.25">
      <c r="A43" s="133" t="s">
        <v>11</v>
      </c>
      <c r="B43" s="134">
        <f>ROUND(B35/3*(B39+B40+SQRT(B39*B40)),2)</f>
        <v>2857.14</v>
      </c>
      <c r="C43" s="135" t="s">
        <v>156</v>
      </c>
      <c r="D43" s="128" t="s">
        <v>11</v>
      </c>
      <c r="E43" s="136">
        <f>ROUND(E35/3*(E39+E40+SQRT(E39*E40)),2)</f>
        <v>1846.34</v>
      </c>
      <c r="F43" s="128" t="s">
        <v>156</v>
      </c>
      <c r="G43" s="133" t="s">
        <v>11</v>
      </c>
      <c r="H43" s="134">
        <f>ROUND(H35/3*(H39+H40+SQRT(H39*H40)),2)</f>
        <v>1056.22</v>
      </c>
      <c r="I43" s="135" t="s">
        <v>156</v>
      </c>
      <c r="J43" s="61" t="s">
        <v>11</v>
      </c>
      <c r="K43" s="136">
        <f>ROUND(K35/3*(K39+K40+SQRT(K39*K40)),2)</f>
        <v>333.73</v>
      </c>
      <c r="L43" s="137" t="s">
        <v>156</v>
      </c>
      <c r="M43" s="133" t="s">
        <v>11</v>
      </c>
      <c r="N43" s="134">
        <f>ROUND(N35/3*(N39+N40+SQRT(N39*N40)),2)</f>
        <v>0</v>
      </c>
      <c r="O43" s="138" t="s">
        <v>156</v>
      </c>
      <c r="P43" s="127"/>
      <c r="Q43" s="128"/>
      <c r="R43" s="129"/>
    </row>
    <row r="44" spans="1:18" ht="16.5" x14ac:dyDescent="0.25">
      <c r="A44" s="133" t="s">
        <v>44</v>
      </c>
      <c r="B44" s="134">
        <f>ROUND(B35/3*(B41+B42+SQRT(B41*B42)),2)</f>
        <v>2836.35</v>
      </c>
      <c r="C44" s="135" t="s">
        <v>156</v>
      </c>
      <c r="D44" s="128" t="s">
        <v>44</v>
      </c>
      <c r="E44" s="136">
        <f>ROUND(E35/3*(E41+E42+SQRT(E41*E42)),2)</f>
        <v>1827.51</v>
      </c>
      <c r="F44" s="128" t="s">
        <v>156</v>
      </c>
      <c r="G44" s="133" t="s">
        <v>44</v>
      </c>
      <c r="H44" s="134">
        <f>ROUND(H35/3*(H41+H42+SQRT(H41*H42)),2)</f>
        <v>1040.43</v>
      </c>
      <c r="I44" s="135" t="s">
        <v>156</v>
      </c>
      <c r="J44" s="61" t="s">
        <v>44</v>
      </c>
      <c r="K44" s="136">
        <f>ROUND(K35/3*(K41+K42+SQRT(K41*K42)),2)</f>
        <v>325.69</v>
      </c>
      <c r="L44" s="137" t="s">
        <v>156</v>
      </c>
      <c r="M44" s="133" t="s">
        <v>44</v>
      </c>
      <c r="N44" s="134">
        <f>ROUND(N35/3*(N41+N42+SQRT(N41*N42)),2)</f>
        <v>0</v>
      </c>
      <c r="O44" s="138" t="s">
        <v>156</v>
      </c>
      <c r="P44" s="127"/>
      <c r="Q44" s="128"/>
      <c r="R44" s="129"/>
    </row>
    <row r="45" spans="1:18" ht="18" x14ac:dyDescent="0.35">
      <c r="A45" s="101" t="s">
        <v>149</v>
      </c>
      <c r="B45" s="102">
        <f>IF(B33=0,0,B35*(B37+B38)/2)</f>
        <v>159.32</v>
      </c>
      <c r="C45" s="103" t="s">
        <v>150</v>
      </c>
      <c r="D45" s="104" t="s">
        <v>149</v>
      </c>
      <c r="E45" s="105">
        <f>IF(E33=0,0,E35*(E37+E38)/2)</f>
        <v>127.96000000000001</v>
      </c>
      <c r="F45" s="104" t="s">
        <v>150</v>
      </c>
      <c r="G45" s="101" t="s">
        <v>149</v>
      </c>
      <c r="H45" s="102">
        <f>IF(H33=0,0,H35*(H37+H38)/2)</f>
        <v>96.600000000000009</v>
      </c>
      <c r="I45" s="103" t="s">
        <v>150</v>
      </c>
      <c r="J45" s="106" t="s">
        <v>149</v>
      </c>
      <c r="K45" s="105">
        <f>IF(K33=0,0,K35*(K37+K38)/2)</f>
        <v>41.120000000000005</v>
      </c>
      <c r="L45" s="107" t="s">
        <v>150</v>
      </c>
      <c r="M45" s="101" t="s">
        <v>149</v>
      </c>
      <c r="N45" s="102">
        <f>IF(N33=0,0,N35*(N37+N38)/2)</f>
        <v>0</v>
      </c>
      <c r="O45" s="139" t="s">
        <v>150</v>
      </c>
      <c r="P45" s="127"/>
      <c r="Q45" s="128"/>
      <c r="R45" s="129"/>
    </row>
    <row r="46" spans="1:18" x14ac:dyDescent="0.25">
      <c r="A46" s="108" t="s">
        <v>86</v>
      </c>
      <c r="B46" s="109">
        <f>IF(B33=0,0,B34+B35/4*(B37^2+2*B37*B38+3*B38^2)/(B37^2+B37*B38+B38^2))</f>
        <v>3.2710964174549142</v>
      </c>
      <c r="C46" s="110" t="s">
        <v>3</v>
      </c>
      <c r="D46" s="2" t="s">
        <v>86</v>
      </c>
      <c r="E46" s="111">
        <f>IF(E33=0,0,E34+E35/4*(E37^2+2*E37*E38+3*E38^2)/(E37^2+E37*E38+E38^2))</f>
        <v>10.215501291919903</v>
      </c>
      <c r="F46" s="2" t="s">
        <v>3</v>
      </c>
      <c r="G46" s="108" t="s">
        <v>86</v>
      </c>
      <c r="H46" s="109">
        <f>IF(H33=0,0,H34+H35/4*(H37^2+2*H37*H38+3*H38^2)/(H37^2+H37*H38+H38^2))</f>
        <v>17.12455338676498</v>
      </c>
      <c r="I46" s="110" t="s">
        <v>3</v>
      </c>
      <c r="J46" s="4" t="s">
        <v>86</v>
      </c>
      <c r="K46" s="111">
        <f>IF(K33=0,0,K34+K35/4*(K37^2+2*K37*K38+3*K38^2)/(K37^2+K37*K38+K38^2))</f>
        <v>22.834835392702754</v>
      </c>
      <c r="L46" s="5" t="s">
        <v>3</v>
      </c>
      <c r="M46" s="108" t="s">
        <v>86</v>
      </c>
      <c r="N46" s="109">
        <f>IF(N33=0,0,N34+N35/4*(N37^2+2*N37*N38+3*N38^2)/(N37^2+N37*N38+N38^2))</f>
        <v>0</v>
      </c>
      <c r="O46" s="140" t="s">
        <v>3</v>
      </c>
      <c r="P46" s="127"/>
      <c r="Q46" s="128"/>
      <c r="R46" s="129"/>
    </row>
    <row r="47" spans="1:18" ht="18" x14ac:dyDescent="0.35">
      <c r="A47" s="108" t="s">
        <v>151</v>
      </c>
      <c r="B47" s="109">
        <f>2.01*(MAX(B34,15)/$B$8)^(2/$B$7)</f>
        <v>0.84888415207790313</v>
      </c>
      <c r="C47" s="110"/>
      <c r="D47" s="2" t="s">
        <v>151</v>
      </c>
      <c r="E47" s="111">
        <f>2.01*(MAX(E34,15)/$B$8)^(2/$B$7)</f>
        <v>0.84888415207790313</v>
      </c>
      <c r="G47" s="108" t="s">
        <v>151</v>
      </c>
      <c r="H47" s="109">
        <f>2.01*(MAX(H34,15)/$B$8)^(2/$B$7)</f>
        <v>0.84888415207790313</v>
      </c>
      <c r="I47" s="110"/>
      <c r="J47" s="4" t="s">
        <v>151</v>
      </c>
      <c r="K47" s="111">
        <f>2.01*(MAX(K34,15)/$B$8)^(2/$B$7)</f>
        <v>0.91119687732675281</v>
      </c>
      <c r="L47" s="5"/>
      <c r="M47" s="108" t="s">
        <v>151</v>
      </c>
      <c r="N47" s="109">
        <f>2.01*(MAX(N34,15)/$B$8)^(2/$B$7)</f>
        <v>0.84888415207790313</v>
      </c>
      <c r="O47" s="140"/>
      <c r="P47" s="127"/>
      <c r="Q47" s="128"/>
      <c r="R47" s="129"/>
    </row>
    <row r="48" spans="1:18" ht="18" x14ac:dyDescent="0.35">
      <c r="A48" s="108" t="s">
        <v>152</v>
      </c>
      <c r="B48" s="109">
        <f>2.01*(MAX(B36,15)/$B$8)^(2/$B$7)</f>
        <v>0.84888415207790313</v>
      </c>
      <c r="C48" s="110"/>
      <c r="D48" s="2" t="s">
        <v>152</v>
      </c>
      <c r="E48" s="111">
        <f>2.01*(MAX(E36,15)/$B$8)^(2/$B$7)</f>
        <v>0.84888415207790313</v>
      </c>
      <c r="G48" s="108" t="s">
        <v>152</v>
      </c>
      <c r="H48" s="109">
        <f>2.01*(MAX(H36,15)/$B$8)^(2/$B$7)</f>
        <v>0.91119687732675281</v>
      </c>
      <c r="I48" s="110"/>
      <c r="J48" s="4" t="s">
        <v>152</v>
      </c>
      <c r="K48" s="111">
        <f>2.01*(MAX(K36,15)/$B$8)^(2/$B$7)</f>
        <v>0.94526466907719109</v>
      </c>
      <c r="L48" s="5"/>
      <c r="M48" s="108" t="s">
        <v>152</v>
      </c>
      <c r="N48" s="109">
        <f>2.01*(MAX(N36,15)/$B$8)^(2/$B$7)</f>
        <v>0.84888415207790313</v>
      </c>
      <c r="O48" s="140"/>
      <c r="P48" s="127"/>
      <c r="Q48" s="128"/>
      <c r="R48" s="129"/>
    </row>
    <row r="49" spans="1:18" ht="18" x14ac:dyDescent="0.35">
      <c r="A49" s="108" t="s">
        <v>153</v>
      </c>
      <c r="B49" s="109">
        <f>B47*$B$12</f>
        <v>20.24283104411051</v>
      </c>
      <c r="C49" s="110" t="s">
        <v>32</v>
      </c>
      <c r="D49" s="2" t="s">
        <v>153</v>
      </c>
      <c r="E49" s="111">
        <f>E47*$B$12</f>
        <v>20.24283104411051</v>
      </c>
      <c r="F49" s="2" t="s">
        <v>32</v>
      </c>
      <c r="G49" s="108" t="s">
        <v>153</v>
      </c>
      <c r="H49" s="109">
        <f>H47*$B$12</f>
        <v>20.24283104411051</v>
      </c>
      <c r="I49" s="110" t="s">
        <v>32</v>
      </c>
      <c r="J49" s="4" t="s">
        <v>153</v>
      </c>
      <c r="K49" s="111">
        <f>MAX(K47*$B$9*$B$10*$B$12,30*$B$10)</f>
        <v>18</v>
      </c>
      <c r="L49" s="5" t="s">
        <v>32</v>
      </c>
      <c r="M49" s="108" t="s">
        <v>153</v>
      </c>
      <c r="N49" s="109">
        <f>MAX(N47*$B$9*$B$10*$B$12,30*$B$10)</f>
        <v>18</v>
      </c>
      <c r="O49" s="140" t="s">
        <v>32</v>
      </c>
      <c r="P49" s="127"/>
      <c r="Q49" s="128"/>
      <c r="R49" s="129"/>
    </row>
    <row r="50" spans="1:18" ht="18" x14ac:dyDescent="0.35">
      <c r="A50" s="108" t="s">
        <v>154</v>
      </c>
      <c r="B50" s="109">
        <f>B48*$B$12</f>
        <v>20.24283104411051</v>
      </c>
      <c r="C50" s="110" t="s">
        <v>32</v>
      </c>
      <c r="D50" s="2" t="s">
        <v>154</v>
      </c>
      <c r="E50" s="111">
        <f>E48*$B$12</f>
        <v>20.24283104411051</v>
      </c>
      <c r="F50" s="2" t="s">
        <v>32</v>
      </c>
      <c r="G50" s="108" t="s">
        <v>154</v>
      </c>
      <c r="H50" s="109">
        <f>H48*$B$12</f>
        <v>21.728765215484678</v>
      </c>
      <c r="I50" s="110" t="s">
        <v>32</v>
      </c>
      <c r="J50" s="4" t="s">
        <v>154</v>
      </c>
      <c r="K50" s="111">
        <f>MAX(K48*$B$9*$B$10*$B$12,30*$B$10)</f>
        <v>18</v>
      </c>
      <c r="L50" s="5" t="s">
        <v>32</v>
      </c>
      <c r="M50" s="108" t="s">
        <v>154</v>
      </c>
      <c r="N50" s="109">
        <f>MAX(N48*$B$9*$B$10*$B$12,30*$B$10)</f>
        <v>18</v>
      </c>
      <c r="O50" s="140" t="s">
        <v>32</v>
      </c>
      <c r="P50" s="127"/>
      <c r="Q50" s="128"/>
      <c r="R50" s="129"/>
    </row>
    <row r="51" spans="1:18" x14ac:dyDescent="0.25">
      <c r="A51" s="108" t="s">
        <v>33</v>
      </c>
      <c r="B51" s="109">
        <f>MAX((B49+B50)/2*$B$9*$B$10,30*$B$10)*B45/1000</f>
        <v>2.8677599999999996</v>
      </c>
      <c r="C51" s="110" t="s">
        <v>1</v>
      </c>
      <c r="D51" s="2" t="s">
        <v>33</v>
      </c>
      <c r="E51" s="111">
        <f>MAX((E49+E50)/2*$B$9*$B$10,30*$B$10)*E45/1000</f>
        <v>2.30328</v>
      </c>
      <c r="F51" s="2" t="s">
        <v>1</v>
      </c>
      <c r="G51" s="108" t="s">
        <v>33</v>
      </c>
      <c r="H51" s="109">
        <f>MAX((H49+H50)/2*$B$9*$B$10,30*$B$10)*H45/1000</f>
        <v>1.7388000000000001</v>
      </c>
      <c r="I51" s="110" t="s">
        <v>1</v>
      </c>
      <c r="J51" s="4" t="s">
        <v>33</v>
      </c>
      <c r="K51" s="111">
        <f>(K49+K50)/2*K45/1000</f>
        <v>0.74016000000000004</v>
      </c>
      <c r="L51" s="5" t="s">
        <v>1</v>
      </c>
      <c r="M51" s="108" t="s">
        <v>33</v>
      </c>
      <c r="N51" s="109">
        <f>(N49+N50)/2*N45/1000</f>
        <v>0</v>
      </c>
      <c r="O51" s="140" t="s">
        <v>1</v>
      </c>
      <c r="P51" s="112" t="s">
        <v>68</v>
      </c>
      <c r="Q51" s="113">
        <f>H51+E51+B51+N51+K51</f>
        <v>7.65</v>
      </c>
      <c r="R51" s="114" t="s">
        <v>1</v>
      </c>
    </row>
    <row r="52" spans="1:18" x14ac:dyDescent="0.25">
      <c r="A52" s="108" t="s">
        <v>57</v>
      </c>
      <c r="B52" s="109">
        <f>IF(B33=0,0,B34+((B49*B35^2/2+2/3*0.5*B35^2*(B50-B49))/(B49*B35+0.5*B35*(B50-B49))))</f>
        <v>3.5</v>
      </c>
      <c r="C52" s="110" t="s">
        <v>3</v>
      </c>
      <c r="D52" s="2" t="s">
        <v>57</v>
      </c>
      <c r="E52" s="111">
        <f>IF(E33=0,0,E34+((E49*E35^2/2+2/3*0.5*E35^2*(E50-E49))/(E49*E35+0.5*E35*(E50-E49))))</f>
        <v>10.5</v>
      </c>
      <c r="F52" s="2" t="s">
        <v>3</v>
      </c>
      <c r="G52" s="108" t="s">
        <v>57</v>
      </c>
      <c r="H52" s="109">
        <f>IF(H33=0,0,H34+((H49*H35^2/2+2/3*0.5*H35^2*(H50-H49))/(H49*H35+0.5*H35*(H50-H49))))</f>
        <v>17.541303882175004</v>
      </c>
      <c r="I52" s="110" t="s">
        <v>3</v>
      </c>
      <c r="J52" s="4" t="s">
        <v>57</v>
      </c>
      <c r="K52" s="111">
        <f>IF(K33=0,0,K34+((K49*K35^2/2+2/3*0.5*K35^2*(K50-K49))/(K49*K35+0.5*K35*(K50-K49))))</f>
        <v>23</v>
      </c>
      <c r="L52" s="5" t="s">
        <v>3</v>
      </c>
      <c r="M52" s="108" t="s">
        <v>57</v>
      </c>
      <c r="N52" s="109">
        <f>IF(N33=0,0,N34+((N49*N35^2/2+2/3*0.5*N35^2*(N50-N49))/(N49*N35+0.5*N35*(N50-N49))))</f>
        <v>0</v>
      </c>
      <c r="O52" s="140" t="s">
        <v>3</v>
      </c>
      <c r="P52" s="45"/>
      <c r="Q52" s="14"/>
      <c r="R52" s="87"/>
    </row>
    <row r="53" spans="1:18" x14ac:dyDescent="0.25">
      <c r="A53" s="116" t="s">
        <v>65</v>
      </c>
      <c r="B53" s="109">
        <f>B52*B51</f>
        <v>10.037159999999998</v>
      </c>
      <c r="C53" s="141" t="s">
        <v>67</v>
      </c>
      <c r="D53" s="115" t="s">
        <v>65</v>
      </c>
      <c r="E53" s="111">
        <f t="shared" ref="E53" si="3">E52*E51</f>
        <v>24.184439999999999</v>
      </c>
      <c r="F53" s="5" t="s">
        <v>67</v>
      </c>
      <c r="G53" s="116" t="s">
        <v>65</v>
      </c>
      <c r="H53" s="109">
        <f t="shared" ref="H53" si="4">H52*H51</f>
        <v>30.500819190325899</v>
      </c>
      <c r="I53" s="110" t="s">
        <v>67</v>
      </c>
      <c r="J53" s="115" t="s">
        <v>65</v>
      </c>
      <c r="K53" s="111">
        <f t="shared" ref="K53" si="5">K52*K51</f>
        <v>17.023680000000002</v>
      </c>
      <c r="L53" s="5" t="s">
        <v>67</v>
      </c>
      <c r="M53" s="116" t="s">
        <v>65</v>
      </c>
      <c r="N53" s="109">
        <f t="shared" ref="N53" si="6">N52*N51</f>
        <v>0</v>
      </c>
      <c r="O53" s="140" t="s">
        <v>67</v>
      </c>
      <c r="P53" s="112" t="s">
        <v>69</v>
      </c>
      <c r="Q53" s="113">
        <f>H53+E53+B53+K53+N53</f>
        <v>81.746099190325893</v>
      </c>
      <c r="R53" s="114" t="s">
        <v>67</v>
      </c>
    </row>
    <row r="54" spans="1:18" x14ac:dyDescent="0.25">
      <c r="A54" s="108" t="s">
        <v>117</v>
      </c>
      <c r="B54" s="109">
        <f>(B56)*B46</f>
        <v>33.322986314254898</v>
      </c>
      <c r="C54" s="110"/>
      <c r="D54" s="4" t="s">
        <v>117</v>
      </c>
      <c r="E54" s="111">
        <f>(E56)*E46</f>
        <v>94.255365770156999</v>
      </c>
      <c r="G54" s="108" t="s">
        <v>117</v>
      </c>
      <c r="H54" s="109">
        <f>(H56)*H46</f>
        <v>132.49438200873902</v>
      </c>
      <c r="I54" s="110"/>
      <c r="J54" s="4" t="s">
        <v>117</v>
      </c>
      <c r="K54" s="111">
        <f>(K56)*K46</f>
        <v>89.960117513091987</v>
      </c>
      <c r="L54" s="5"/>
      <c r="M54" s="108" t="s">
        <v>117</v>
      </c>
      <c r="N54" s="109">
        <f>(N56)*N46</f>
        <v>0</v>
      </c>
      <c r="O54" s="140"/>
      <c r="P54" s="45"/>
      <c r="Q54" s="48"/>
      <c r="R54" s="46"/>
    </row>
    <row r="55" spans="1:18" s="11" customFormat="1" ht="16.5" x14ac:dyDescent="0.25">
      <c r="A55" s="142" t="s">
        <v>12</v>
      </c>
      <c r="B55" s="143">
        <f>B43-B44</f>
        <v>20.789999999999964</v>
      </c>
      <c r="C55" s="144" t="s">
        <v>157</v>
      </c>
      <c r="D55" s="145" t="s">
        <v>12</v>
      </c>
      <c r="E55" s="146">
        <f>E43-E44</f>
        <v>18.829999999999927</v>
      </c>
      <c r="F55" s="145" t="s">
        <v>157</v>
      </c>
      <c r="G55" s="147" t="s">
        <v>12</v>
      </c>
      <c r="H55" s="143">
        <f>H43-H44</f>
        <v>15.789999999999964</v>
      </c>
      <c r="I55" s="144" t="s">
        <v>157</v>
      </c>
      <c r="J55" s="148" t="s">
        <v>12</v>
      </c>
      <c r="K55" s="146">
        <f>K43-K44</f>
        <v>8.0400000000000205</v>
      </c>
      <c r="L55" s="149" t="s">
        <v>157</v>
      </c>
      <c r="M55" s="147" t="s">
        <v>12</v>
      </c>
      <c r="N55" s="143">
        <f>N43-N44</f>
        <v>0</v>
      </c>
      <c r="O55" s="150" t="s">
        <v>157</v>
      </c>
      <c r="P55" s="151"/>
      <c r="Q55" s="145"/>
      <c r="R55" s="152"/>
    </row>
    <row r="56" spans="1:18" s="11" customFormat="1" ht="15.75" thickBot="1" x14ac:dyDescent="0.3">
      <c r="A56" s="117" t="s">
        <v>0</v>
      </c>
      <c r="B56" s="118">
        <f>B55*490/1000</f>
        <v>10.187099999999981</v>
      </c>
      <c r="C56" s="119" t="s">
        <v>1</v>
      </c>
      <c r="D56" s="120" t="s">
        <v>0</v>
      </c>
      <c r="E56" s="121">
        <f>E55*490/1000</f>
        <v>9.2266999999999637</v>
      </c>
      <c r="F56" s="120" t="s">
        <v>1</v>
      </c>
      <c r="G56" s="117" t="s">
        <v>0</v>
      </c>
      <c r="H56" s="118">
        <f>H55*490/1000</f>
        <v>7.7370999999999821</v>
      </c>
      <c r="I56" s="119" t="s">
        <v>1</v>
      </c>
      <c r="J56" s="122" t="s">
        <v>0</v>
      </c>
      <c r="K56" s="121">
        <f>K55*490/1000</f>
        <v>3.9396000000000098</v>
      </c>
      <c r="L56" s="123" t="s">
        <v>1</v>
      </c>
      <c r="M56" s="117" t="s">
        <v>0</v>
      </c>
      <c r="N56" s="118">
        <f>N55*490/1000</f>
        <v>0</v>
      </c>
      <c r="O56" s="153" t="s">
        <v>1</v>
      </c>
      <c r="P56" s="124" t="s">
        <v>35</v>
      </c>
      <c r="Q56" s="125">
        <f>H56+E56+B56+K56+N56</f>
        <v>31.090499999999938</v>
      </c>
      <c r="R56" s="126" t="s">
        <v>1</v>
      </c>
    </row>
    <row r="57" spans="1:18" x14ac:dyDescent="0.25">
      <c r="M57" s="13"/>
      <c r="N57" s="13"/>
      <c r="O57" s="13"/>
    </row>
    <row r="58" spans="1:18" ht="15.75" thickBot="1" x14ac:dyDescent="0.3">
      <c r="M58" s="13"/>
      <c r="N58" s="13"/>
      <c r="O58" s="13"/>
    </row>
    <row r="59" spans="1:18" s="14" customFormat="1" ht="15.75" thickBot="1" x14ac:dyDescent="0.3">
      <c r="A59" s="198" t="s">
        <v>89</v>
      </c>
      <c r="B59" s="199"/>
      <c r="C59" s="200"/>
      <c r="G59" s="210"/>
      <c r="H59" s="210"/>
      <c r="I59" s="210"/>
    </row>
    <row r="60" spans="1:18" s="14" customFormat="1" x14ac:dyDescent="0.25">
      <c r="A60" s="59" t="s">
        <v>87</v>
      </c>
      <c r="B60" s="157">
        <v>250000</v>
      </c>
      <c r="C60" s="60" t="s">
        <v>88</v>
      </c>
      <c r="H60" s="180"/>
    </row>
    <row r="61" spans="1:18" s="14" customFormat="1" ht="18" x14ac:dyDescent="0.35">
      <c r="A61" s="19" t="s">
        <v>92</v>
      </c>
      <c r="B61" s="48">
        <f>K18</f>
        <v>132.07</v>
      </c>
      <c r="C61" s="20" t="s">
        <v>93</v>
      </c>
      <c r="H61" s="48"/>
    </row>
    <row r="62" spans="1:18" s="14" customFormat="1" ht="18" x14ac:dyDescent="0.35">
      <c r="A62" s="19" t="s">
        <v>91</v>
      </c>
      <c r="B62" s="48">
        <f>B69+B61</f>
        <v>176.01589999999999</v>
      </c>
      <c r="C62" s="20" t="s">
        <v>3</v>
      </c>
      <c r="H62" s="48"/>
    </row>
    <row r="63" spans="1:18" s="14" customFormat="1" ht="16.5" x14ac:dyDescent="0.3">
      <c r="A63" s="19" t="s">
        <v>58</v>
      </c>
      <c r="B63" s="48">
        <f>2.01*(MAX(B61,15)/$B$8)^(2/$B$7)</f>
        <v>1.3419469760730833</v>
      </c>
      <c r="C63" s="20"/>
      <c r="H63" s="180"/>
    </row>
    <row r="64" spans="1:18" s="14" customFormat="1" ht="16.5" x14ac:dyDescent="0.3">
      <c r="A64" s="19" t="s">
        <v>59</v>
      </c>
      <c r="B64" s="48">
        <f>2.01*(MAX(B62,15)/$B$8)^(2/$B$7)</f>
        <v>1.4256011417233332</v>
      </c>
      <c r="C64" s="20"/>
      <c r="H64" s="180"/>
    </row>
    <row r="65" spans="1:9" s="14" customFormat="1" ht="16.5" x14ac:dyDescent="0.3">
      <c r="A65" s="19" t="s">
        <v>55</v>
      </c>
      <c r="B65" s="48">
        <f>B63*$B$12</f>
        <v>32.000604370229176</v>
      </c>
      <c r="C65" s="20" t="s">
        <v>32</v>
      </c>
      <c r="H65" s="180"/>
    </row>
    <row r="66" spans="1:9" ht="16.5" x14ac:dyDescent="0.3">
      <c r="A66" s="19" t="s">
        <v>56</v>
      </c>
      <c r="B66" s="48">
        <f>B64*$B$12</f>
        <v>33.995455065991294</v>
      </c>
      <c r="C66" s="20" t="s">
        <v>32</v>
      </c>
      <c r="G66" s="14"/>
      <c r="H66" s="180"/>
      <c r="I66" s="14"/>
    </row>
    <row r="67" spans="1:9" x14ac:dyDescent="0.25">
      <c r="A67" s="26" t="s">
        <v>33</v>
      </c>
      <c r="B67" s="48">
        <f>MAX((B65+B66)/2*$B$9*$B$10,30*$B$10)*B73/1000</f>
        <v>26.672571405386247</v>
      </c>
      <c r="C67" s="27" t="s">
        <v>90</v>
      </c>
      <c r="G67" s="48"/>
      <c r="H67" s="180"/>
      <c r="I67" s="48"/>
    </row>
    <row r="68" spans="1:9" x14ac:dyDescent="0.25">
      <c r="A68" s="19" t="s">
        <v>142</v>
      </c>
      <c r="B68" s="48">
        <f>VLOOKUP($B$60,'Tanks Information'!$A$2:$H$14,3,FALSE)+B61</f>
        <v>156.31</v>
      </c>
      <c r="C68" s="20" t="s">
        <v>93</v>
      </c>
      <c r="G68" s="14"/>
      <c r="H68" s="180"/>
      <c r="I68" s="14"/>
    </row>
    <row r="69" spans="1:9" x14ac:dyDescent="0.25">
      <c r="A69" s="19" t="s">
        <v>168</v>
      </c>
      <c r="B69" s="48">
        <f>VLOOKUP($B$60,'Tanks Information'!$A$2:$H$14,4,FALSE)</f>
        <v>43.945900000000002</v>
      </c>
      <c r="C69" s="20" t="s">
        <v>3</v>
      </c>
      <c r="G69" s="14"/>
      <c r="H69" s="180"/>
      <c r="I69" s="14"/>
    </row>
    <row r="70" spans="1:9" x14ac:dyDescent="0.25">
      <c r="A70" s="19" t="s">
        <v>83</v>
      </c>
      <c r="B70" s="14">
        <f>VLOOKUP($B$60,'Tanks Information'!$A$2:$H$14,5,FALSE)</f>
        <v>2122</v>
      </c>
      <c r="C70" s="20" t="s">
        <v>90</v>
      </c>
      <c r="G70" s="14"/>
      <c r="H70" s="180"/>
      <c r="I70" s="14"/>
    </row>
    <row r="71" spans="1:9" x14ac:dyDescent="0.25">
      <c r="A71" s="19" t="s">
        <v>82</v>
      </c>
      <c r="B71" s="48">
        <f>VLOOKUP($B$60,'Tanks Information'!$A$2:$H$14,6,FALSE)</f>
        <v>107.6857</v>
      </c>
      <c r="C71" s="20" t="s">
        <v>90</v>
      </c>
      <c r="G71" s="14"/>
      <c r="H71" s="180"/>
      <c r="I71" s="181"/>
    </row>
    <row r="72" spans="1:9" x14ac:dyDescent="0.25">
      <c r="A72" s="19" t="s">
        <v>81</v>
      </c>
      <c r="B72" s="48">
        <f>VLOOKUP($B$60,'Tanks Information'!$A$2:$H$14,7,FALSE)</f>
        <v>2229.6857</v>
      </c>
      <c r="C72" s="20" t="s">
        <v>90</v>
      </c>
      <c r="G72" s="14"/>
      <c r="H72" s="180"/>
      <c r="I72" s="14"/>
    </row>
    <row r="73" spans="1:9" ht="16.5" x14ac:dyDescent="0.25">
      <c r="A73" s="19" t="s">
        <v>85</v>
      </c>
      <c r="B73" s="14">
        <f>VLOOKUP($B$60,'Tanks Information'!$A$2:$H$14,8,FALSE)</f>
        <v>1347.18</v>
      </c>
      <c r="C73" s="20" t="s">
        <v>162</v>
      </c>
      <c r="G73" s="145"/>
      <c r="H73" s="182"/>
      <c r="I73" s="182"/>
    </row>
    <row r="74" spans="1:9" ht="15.75" thickBot="1" x14ac:dyDescent="0.3">
      <c r="A74" s="169" t="s">
        <v>66</v>
      </c>
      <c r="B74" s="100">
        <f>B67</f>
        <v>26.672571405386247</v>
      </c>
      <c r="C74" s="156" t="s">
        <v>90</v>
      </c>
      <c r="G74" s="181"/>
      <c r="H74" s="183"/>
      <c r="I74" s="181"/>
    </row>
    <row r="76" spans="1:9" s="11" customFormat="1" ht="15.75" thickBot="1" x14ac:dyDescent="0.3">
      <c r="A76" s="197" t="s">
        <v>167</v>
      </c>
      <c r="B76" s="197"/>
      <c r="C76" s="197"/>
    </row>
    <row r="77" spans="1:9" s="11" customFormat="1" ht="15.75" thickTop="1" x14ac:dyDescent="0.25">
      <c r="A77" s="4" t="s">
        <v>68</v>
      </c>
      <c r="B77" s="10">
        <f>Q26+Q51+B74</f>
        <v>51.847260367234725</v>
      </c>
      <c r="C77" s="170" t="s">
        <v>1</v>
      </c>
    </row>
    <row r="78" spans="1:9" s="11" customFormat="1" x14ac:dyDescent="0.25">
      <c r="A78" s="4" t="s">
        <v>69</v>
      </c>
      <c r="B78" s="10">
        <f>Q53+Q28+(B67*B68)</f>
        <v>5639.0506128290717</v>
      </c>
      <c r="C78" s="87" t="s">
        <v>67</v>
      </c>
    </row>
    <row r="79" spans="1:9" x14ac:dyDescent="0.25">
      <c r="A79" s="61" t="s">
        <v>52</v>
      </c>
      <c r="B79" s="172">
        <f>B70</f>
        <v>2122</v>
      </c>
      <c r="C79" s="129" t="s">
        <v>1</v>
      </c>
      <c r="D79" s="12"/>
    </row>
    <row r="80" spans="1:9" x14ac:dyDescent="0.25">
      <c r="A80" s="61" t="s">
        <v>35</v>
      </c>
      <c r="B80" s="172">
        <f>B71+Q56+Q30</f>
        <v>214.66551244689734</v>
      </c>
      <c r="C80" s="171" t="s">
        <v>1</v>
      </c>
      <c r="D80" s="13"/>
      <c r="E80" s="13"/>
      <c r="F80" s="13"/>
    </row>
    <row r="81" spans="1:6" ht="15.75" thickBot="1" x14ac:dyDescent="0.3">
      <c r="A81" s="168" t="s">
        <v>70</v>
      </c>
      <c r="B81" s="173">
        <f>B79+B80</f>
        <v>2336.6655124468975</v>
      </c>
      <c r="C81" s="168" t="s">
        <v>1</v>
      </c>
      <c r="D81" s="13"/>
      <c r="E81" s="13"/>
      <c r="F81" s="13"/>
    </row>
    <row r="82" spans="1:6" ht="15.75" thickTop="1" x14ac:dyDescent="0.25"/>
  </sheetData>
  <mergeCells count="14">
    <mergeCell ref="P1:R1"/>
    <mergeCell ref="A76:C76"/>
    <mergeCell ref="A59:C59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M31:O31"/>
    <mergeCell ref="G59:I59"/>
  </mergeCells>
  <conditionalFormatting sqref="P28:P29">
    <cfRule type="expression" dxfId="1" priority="1">
      <formula>#REF!=0</formula>
    </cfRule>
  </conditionalFormatting>
  <conditionalFormatting sqref="P53:P54">
    <cfRule type="expression" dxfId="0" priority="15">
      <formula>#REF!=0</formula>
    </cfRule>
  </conditionalFormatting>
  <dataValidations disablePrompts="1" count="1">
    <dataValidation type="list" allowBlank="1" showInputMessage="1" showErrorMessage="1" sqref="B6" xr:uid="{EAC848C1-E63C-4C99-B00C-318D7B7347CA}">
      <formula1>"C,D"</formula1>
    </dataValidation>
  </dataValidations>
  <pageMargins left="0.25" right="0.25" top="0" bottom="0" header="0" footer="0"/>
  <pageSetup paperSize="70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691512-4C5B-4203-837B-6816D67597B4}">
          <x14:formula1>
            <xm:f>'Tanks Information'!$A$2:$A$14</xm:f>
          </x14:formula1>
          <xm:sqref>B60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T26"/>
  <sheetViews>
    <sheetView zoomScaleNormal="100" workbookViewId="0">
      <selection activeCell="I32" sqref="I32"/>
    </sheetView>
  </sheetViews>
  <sheetFormatPr defaultColWidth="9.140625" defaultRowHeight="15" x14ac:dyDescent="0.25"/>
  <cols>
    <col min="1" max="1" width="19.42578125" style="3" bestFit="1" customWidth="1"/>
    <col min="2" max="2" width="7.7109375" style="3" customWidth="1"/>
    <col min="3" max="3" width="7.7109375" style="2" customWidth="1"/>
    <col min="4" max="4" width="7.7109375" style="3" customWidth="1"/>
    <col min="5" max="5" width="18.7109375" style="3" bestFit="1" customWidth="1"/>
    <col min="6" max="8" width="7.7109375" style="3" customWidth="1"/>
    <col min="9" max="9" width="9" style="3" bestFit="1" customWidth="1"/>
    <col min="10" max="12" width="7.7109375" style="3" customWidth="1"/>
    <col min="13" max="15" width="10.7109375" style="3" customWidth="1"/>
    <col min="16" max="16" width="7.7109375" style="3" customWidth="1"/>
    <col min="17" max="17" width="7.5703125" style="3" bestFit="1" customWidth="1"/>
    <col min="18" max="18" width="7.7109375" style="3" customWidth="1"/>
    <col min="19" max="19" width="7.5703125" style="2" bestFit="1" customWidth="1"/>
    <col min="20" max="16384" width="9.140625" style="3"/>
  </cols>
  <sheetData>
    <row r="1" spans="1:20" ht="15.75" thickBot="1" x14ac:dyDescent="0.3">
      <c r="A1" s="201" t="s">
        <v>36</v>
      </c>
      <c r="B1" s="202"/>
      <c r="C1" s="203"/>
      <c r="D1" s="2"/>
      <c r="E1" s="201" t="s">
        <v>169</v>
      </c>
      <c r="F1" s="202"/>
      <c r="G1" s="203"/>
      <c r="H1" s="176"/>
      <c r="I1" s="214" t="s">
        <v>166</v>
      </c>
      <c r="J1" s="215"/>
      <c r="K1" s="216"/>
      <c r="L1" s="178"/>
      <c r="M1" s="201" t="s">
        <v>141</v>
      </c>
      <c r="N1" s="202"/>
      <c r="O1" s="202"/>
      <c r="P1" s="202"/>
      <c r="Q1" s="81" t="s">
        <v>158</v>
      </c>
      <c r="R1" s="154"/>
      <c r="S1" s="82" t="s">
        <v>159</v>
      </c>
    </row>
    <row r="2" spans="1:20" ht="15.75" thickBot="1" x14ac:dyDescent="0.3">
      <c r="A2" s="52" t="s">
        <v>123</v>
      </c>
      <c r="B2" s="53">
        <v>43.67</v>
      </c>
      <c r="C2" s="76" t="s">
        <v>3</v>
      </c>
      <c r="D2" s="40"/>
      <c r="E2" s="3" t="s">
        <v>170</v>
      </c>
      <c r="F2" s="2">
        <v>15</v>
      </c>
      <c r="G2" s="5" t="s">
        <v>32</v>
      </c>
      <c r="H2" s="2"/>
      <c r="I2" s="179" t="s">
        <v>166</v>
      </c>
      <c r="J2" s="2">
        <v>0</v>
      </c>
      <c r="K2" s="2" t="s">
        <v>1</v>
      </c>
      <c r="L2" s="178"/>
      <c r="M2" s="75" t="s">
        <v>140</v>
      </c>
      <c r="Q2" s="10">
        <f>'Wind and Seismic'!B81</f>
        <v>2336.6655124468975</v>
      </c>
      <c r="R2" s="10"/>
      <c r="S2" s="5">
        <v>0</v>
      </c>
      <c r="T2" s="155"/>
    </row>
    <row r="3" spans="1:20" ht="16.5" x14ac:dyDescent="0.25">
      <c r="A3" s="52" t="s">
        <v>124</v>
      </c>
      <c r="B3" s="53">
        <v>7.1631</v>
      </c>
      <c r="C3" s="76" t="s">
        <v>3</v>
      </c>
      <c r="D3" s="2"/>
      <c r="E3" s="175" t="s">
        <v>125</v>
      </c>
      <c r="F3" s="54">
        <f>B4</f>
        <v>982.72969385369151</v>
      </c>
      <c r="G3" s="76" t="s">
        <v>126</v>
      </c>
      <c r="H3" s="55"/>
      <c r="I3" s="177"/>
      <c r="J3" s="177"/>
      <c r="K3" s="177"/>
      <c r="M3" s="75" t="s">
        <v>163</v>
      </c>
      <c r="Q3" s="10">
        <f>'Wind and Seismic'!B81+J2</f>
        <v>2336.6655124468975</v>
      </c>
      <c r="R3" s="10"/>
      <c r="S3" s="5">
        <v>0</v>
      </c>
      <c r="T3" s="155"/>
    </row>
    <row r="4" spans="1:20" ht="17.25" thickBot="1" x14ac:dyDescent="0.3">
      <c r="A4" s="52" t="s">
        <v>125</v>
      </c>
      <c r="B4" s="54">
        <f>PI()*B2*B3</f>
        <v>982.72969385369151</v>
      </c>
      <c r="C4" s="76" t="s">
        <v>126</v>
      </c>
      <c r="D4" s="2"/>
      <c r="E4" s="75" t="s">
        <v>169</v>
      </c>
      <c r="F4" s="9">
        <f>F2*F3/1000</f>
        <v>14.740945407805373</v>
      </c>
      <c r="G4" s="8" t="s">
        <v>1</v>
      </c>
      <c r="H4" s="2"/>
      <c r="I4" s="2"/>
      <c r="J4" s="2"/>
      <c r="K4" s="2"/>
      <c r="M4" s="75" t="s">
        <v>171</v>
      </c>
      <c r="Q4" s="10">
        <f>'Wind and Seismic'!B81+(MAX(B11,F4))</f>
        <v>2372.3268075774604</v>
      </c>
      <c r="R4" s="10"/>
      <c r="S4" s="5">
        <v>0</v>
      </c>
      <c r="T4" s="155"/>
    </row>
    <row r="5" spans="1:20" x14ac:dyDescent="0.25">
      <c r="A5" s="52" t="s">
        <v>127</v>
      </c>
      <c r="B5" s="55">
        <v>40</v>
      </c>
      <c r="C5" s="76" t="s">
        <v>32</v>
      </c>
      <c r="D5" s="2"/>
      <c r="E5" s="174"/>
      <c r="G5" s="174"/>
      <c r="M5" s="75" t="s">
        <v>173</v>
      </c>
      <c r="Q5" s="10">
        <f>'Wind and Seismic'!B81+0.75*J2+0.75*(MAX(B11,F4))</f>
        <v>2363.4114837948196</v>
      </c>
      <c r="R5" s="10"/>
      <c r="S5" s="5">
        <v>0</v>
      </c>
      <c r="T5" s="155"/>
    </row>
    <row r="6" spans="1:20" x14ac:dyDescent="0.25">
      <c r="A6" s="55" t="s">
        <v>128</v>
      </c>
      <c r="B6" s="55" t="s">
        <v>29</v>
      </c>
      <c r="C6" s="76"/>
      <c r="D6" s="2"/>
      <c r="M6" s="75" t="s">
        <v>164</v>
      </c>
      <c r="Q6" s="10">
        <f>'Wind and Seismic'!B81</f>
        <v>2336.6655124468975</v>
      </c>
      <c r="R6" s="10"/>
      <c r="S6" s="35">
        <f>0.6*(MAX('Wind and Seismic'!B78,'Wind and Seismic'!Q16))</f>
        <v>3383.4303676974428</v>
      </c>
      <c r="T6" s="155"/>
    </row>
    <row r="7" spans="1:20" ht="18" x14ac:dyDescent="0.35">
      <c r="A7" s="56" t="s">
        <v>129</v>
      </c>
      <c r="B7" s="55">
        <f>IF(B6="C",0.9,0.8)</f>
        <v>0.9</v>
      </c>
      <c r="C7" s="76"/>
      <c r="D7" s="2"/>
      <c r="M7" s="75" t="s">
        <v>172</v>
      </c>
      <c r="Q7" s="10">
        <f>'Wind and Seismic'!B81+(0.75*J2)+(0.75*(MAX(B11,F4)))</f>
        <v>2363.4114837948196</v>
      </c>
      <c r="R7" s="10"/>
      <c r="S7" s="35">
        <f>0.45*(MAX('Wind and Seismic'!B78,'Wind and Seismic'!Q16))</f>
        <v>2537.5727757730824</v>
      </c>
      <c r="T7" s="155"/>
    </row>
    <row r="8" spans="1:20" ht="18" x14ac:dyDescent="0.35">
      <c r="A8" s="56" t="s">
        <v>130</v>
      </c>
      <c r="B8" s="55">
        <v>1.2</v>
      </c>
      <c r="C8" s="76"/>
      <c r="D8" s="2"/>
      <c r="M8" s="75" t="s">
        <v>165</v>
      </c>
      <c r="Q8" s="10">
        <f>0.6*'Wind and Seismic'!B81</f>
        <v>1401.9993074681386</v>
      </c>
      <c r="R8" s="2"/>
      <c r="S8" s="35">
        <f>0.6*(MAX('Wind and Seismic'!B78,'Wind and Seismic'!Q16))</f>
        <v>3383.4303676974428</v>
      </c>
      <c r="T8" s="155"/>
    </row>
    <row r="9" spans="1:20" x14ac:dyDescent="0.25">
      <c r="A9" s="55" t="s">
        <v>131</v>
      </c>
      <c r="B9" s="55" t="s">
        <v>132</v>
      </c>
      <c r="C9" s="76"/>
      <c r="D9" s="2"/>
      <c r="M9" s="75"/>
      <c r="R9" s="2"/>
      <c r="S9" s="5"/>
    </row>
    <row r="10" spans="1:20" ht="18" x14ac:dyDescent="0.35">
      <c r="A10" s="56" t="s">
        <v>133</v>
      </c>
      <c r="B10" s="55">
        <f>IF(B9="RC II",1,IF(B9="RC III",1.1,1.2))</f>
        <v>1.2</v>
      </c>
      <c r="C10" s="76"/>
      <c r="M10" s="75"/>
      <c r="R10" s="2"/>
      <c r="S10" s="5"/>
    </row>
    <row r="11" spans="1:20" ht="15.75" thickBot="1" x14ac:dyDescent="0.3">
      <c r="A11" s="57" t="s">
        <v>37</v>
      </c>
      <c r="B11" s="58">
        <f>0.7*B4*B5*B7*B8*B10/1000</f>
        <v>35.661295130562756</v>
      </c>
      <c r="C11" s="77" t="s">
        <v>1</v>
      </c>
      <c r="M11" s="211"/>
      <c r="N11" s="212"/>
      <c r="O11" s="212"/>
      <c r="P11" s="212"/>
      <c r="Q11" s="212"/>
      <c r="R11" s="79"/>
      <c r="S11" s="78"/>
    </row>
    <row r="14" spans="1:20" x14ac:dyDescent="0.25">
      <c r="A14" s="219" t="s">
        <v>165</v>
      </c>
      <c r="B14" s="218"/>
      <c r="C14" s="218"/>
      <c r="E14" s="218" t="s">
        <v>172</v>
      </c>
      <c r="F14" s="218"/>
      <c r="G14" s="218"/>
      <c r="I14" s="218" t="s">
        <v>164</v>
      </c>
      <c r="J14" s="218"/>
      <c r="K14" s="218"/>
      <c r="L14" s="218"/>
    </row>
    <row r="15" spans="1:20" x14ac:dyDescent="0.25">
      <c r="A15" s="165">
        <f>Q8</f>
        <v>1401.9993074681386</v>
      </c>
      <c r="B15" s="165" t="s">
        <v>1</v>
      </c>
      <c r="C15" s="185"/>
      <c r="E15" s="165">
        <f>Q7</f>
        <v>2363.4114837948196</v>
      </c>
      <c r="F15" s="165" t="s">
        <v>1</v>
      </c>
      <c r="G15" s="187"/>
      <c r="I15" s="217">
        <f>Q6</f>
        <v>2336.6655124468975</v>
      </c>
      <c r="J15" s="217"/>
      <c r="K15" s="165" t="s">
        <v>1</v>
      </c>
      <c r="L15" s="187"/>
      <c r="M15" s="213"/>
      <c r="N15" s="213"/>
      <c r="O15" s="10"/>
    </row>
    <row r="16" spans="1:20" x14ac:dyDescent="0.25">
      <c r="A16" s="165">
        <f>S8</f>
        <v>3383.4303676974428</v>
      </c>
      <c r="B16" s="165" t="s">
        <v>174</v>
      </c>
      <c r="C16" s="186"/>
      <c r="D16" s="162"/>
      <c r="E16" s="165">
        <f>S7</f>
        <v>2537.5727757730824</v>
      </c>
      <c r="F16" s="165" t="s">
        <v>174</v>
      </c>
      <c r="G16" s="187"/>
      <c r="I16" s="217">
        <f>S6</f>
        <v>3383.4303676974428</v>
      </c>
      <c r="J16" s="217"/>
      <c r="K16" s="165" t="s">
        <v>174</v>
      </c>
      <c r="L16" s="187"/>
      <c r="M16" s="213"/>
      <c r="N16" s="213"/>
      <c r="O16" s="10"/>
    </row>
    <row r="17" spans="1:16" x14ac:dyDescent="0.25">
      <c r="A17" s="3" t="s">
        <v>160</v>
      </c>
      <c r="B17" s="2" t="s">
        <v>161</v>
      </c>
      <c r="C17" s="166" t="s">
        <v>112</v>
      </c>
      <c r="E17" s="161" t="s">
        <v>160</v>
      </c>
      <c r="F17" s="3" t="s">
        <v>161</v>
      </c>
      <c r="G17" s="166" t="s">
        <v>112</v>
      </c>
      <c r="H17" s="2"/>
      <c r="I17" s="3" t="s">
        <v>160</v>
      </c>
      <c r="K17" s="3" t="s">
        <v>161</v>
      </c>
      <c r="L17" s="166" t="s">
        <v>112</v>
      </c>
      <c r="P17" s="2"/>
    </row>
    <row r="18" spans="1:16" x14ac:dyDescent="0.25">
      <c r="A18" s="164" t="e" cm="1">
        <f t="array" ref="A18:A26">Q8/(IF('Design Table'!$B$4:$B$12=0,0,'Design Table'!$D$4:$D$12))</f>
        <v>#DIV/0!</v>
      </c>
      <c r="B18" s="10" t="e" cm="1">
        <f t="array" ref="B18:B26">S8*12/(IF('Design Table'!$B$4:$B$12=0,0,'Design Table'!$F$4:$F$12))</f>
        <v>#DIV/0!</v>
      </c>
      <c r="C18" s="167" t="e" cm="1">
        <f t="array" ref="C18:C26">(A18:A26/'Design Table'!$M$22:$M$30)+(B18:B26/'Design Table'!$N$22:$N$30)</f>
        <v>#DIV/0!</v>
      </c>
      <c r="D18" s="10"/>
      <c r="E18" s="164" t="e" cm="1">
        <f t="array" ref="E18:E26">Q7/(IF('Design Table'!$B$4:$B$12=0,0,'Design Table'!$D$4:$D$12))</f>
        <v>#DIV/0!</v>
      </c>
      <c r="F18" s="164" t="e" cm="1">
        <f t="array" ref="F18:F26">S7*12/(IF('Design Table'!$B$4:$B$12=0,0,'Design Table'!$F$4:$F$12))</f>
        <v>#DIV/0!</v>
      </c>
      <c r="G18" s="167" t="e" cm="1">
        <f t="array" ref="G18:G26">(E18:E26/'Design Table'!$M$22:$M$30)+(F18:F26/'Design Table'!$N$22:$N$30)</f>
        <v>#DIV/0!</v>
      </c>
      <c r="H18" s="10"/>
      <c r="I18" s="163" t="e" cm="1">
        <f t="array" ref="I18:I26">Q6/(IF('Design Table'!$B$4:$B$12=0,0,'Design Table'!$D$4:$D$12))</f>
        <v>#DIV/0!</v>
      </c>
      <c r="J18" s="164"/>
      <c r="K18" s="164" t="e" cm="1">
        <f t="array" ref="K18:K26">S6*12/(IF('Design Table'!$B$4:$B$12=0,0,'Design Table'!$F$4:$F$12))</f>
        <v>#DIV/0!</v>
      </c>
      <c r="L18" s="167" t="e" cm="1">
        <f t="array" ref="L18:L26">(I18:I26/'Design Table'!$M$22:$M$30)+(K18:K26/'Design Table'!$N$22:$N$30)</f>
        <v>#DIV/0!</v>
      </c>
      <c r="M18" s="163"/>
      <c r="N18" s="164"/>
      <c r="O18" s="164"/>
      <c r="P18" s="10"/>
    </row>
    <row r="19" spans="1:16" x14ac:dyDescent="0.25">
      <c r="A19" s="164">
        <v>7.3840812219802974</v>
      </c>
      <c r="B19" s="10">
        <v>8.0029011112438706</v>
      </c>
      <c r="C19" s="167">
        <v>0.99960846300845785</v>
      </c>
      <c r="D19" s="10"/>
      <c r="E19" s="164">
        <v>12.447668315056225</v>
      </c>
      <c r="F19" s="164">
        <v>6.0021758334329043</v>
      </c>
      <c r="G19" s="167">
        <v>1.2172744820588177</v>
      </c>
      <c r="H19" s="10"/>
      <c r="I19" s="163">
        <v>12.306802036633828</v>
      </c>
      <c r="J19" s="164"/>
      <c r="K19" s="164">
        <v>8.0029011112438706</v>
      </c>
      <c r="L19" s="167">
        <v>1.3327254198325014</v>
      </c>
      <c r="M19" s="163"/>
      <c r="N19" s="164"/>
      <c r="O19" s="164"/>
      <c r="P19" s="10"/>
    </row>
    <row r="20" spans="1:16" x14ac:dyDescent="0.25">
      <c r="A20" s="164">
        <v>6.6498941465322323</v>
      </c>
      <c r="B20" s="10">
        <v>7.215527750082698</v>
      </c>
      <c r="C20" s="167">
        <v>0.8486846931304568</v>
      </c>
      <c r="D20" s="10"/>
      <c r="E20" s="164">
        <v>11.210017086468065</v>
      </c>
      <c r="F20" s="164">
        <v>5.4116458125620248</v>
      </c>
      <c r="G20" s="167">
        <v>1.0243282744083948</v>
      </c>
      <c r="H20" s="10"/>
      <c r="I20" s="163">
        <v>11.083156910887054</v>
      </c>
      <c r="J20" s="164"/>
      <c r="K20" s="164">
        <v>7.215527750082698</v>
      </c>
      <c r="L20" s="167">
        <v>1.1249816886587134</v>
      </c>
      <c r="M20" s="163"/>
      <c r="N20" s="164"/>
      <c r="O20" s="164"/>
      <c r="P20" s="10"/>
    </row>
    <row r="21" spans="1:16" x14ac:dyDescent="0.25">
      <c r="A21" s="164">
        <v>6.0488791993129531</v>
      </c>
      <c r="B21" s="10">
        <v>6.5709913955356241</v>
      </c>
      <c r="C21" s="167">
        <v>0.73584453765428259</v>
      </c>
      <c r="D21" s="10"/>
      <c r="E21" s="164">
        <v>10.196859932520853</v>
      </c>
      <c r="F21" s="164">
        <v>4.9282435466517196</v>
      </c>
      <c r="G21" s="167">
        <v>0.88192067366745175</v>
      </c>
      <c r="H21" s="10"/>
      <c r="I21" s="163">
        <v>10.081465332188255</v>
      </c>
      <c r="J21" s="164"/>
      <c r="K21" s="164">
        <v>6.5709913955356241</v>
      </c>
      <c r="L21" s="167">
        <v>0.97097820690981118</v>
      </c>
      <c r="M21" s="163"/>
      <c r="N21" s="164"/>
      <c r="O21" s="164"/>
      <c r="P21" s="10"/>
    </row>
    <row r="22" spans="1:16" x14ac:dyDescent="0.25">
      <c r="A22" s="164" t="e">
        <v>#DIV/0!</v>
      </c>
      <c r="B22" s="10" t="e">
        <v>#DIV/0!</v>
      </c>
      <c r="C22" s="167" t="e">
        <v>#DIV/0!</v>
      </c>
      <c r="D22" s="10"/>
      <c r="E22" s="164" t="e">
        <v>#DIV/0!</v>
      </c>
      <c r="F22" s="164" t="e">
        <v>#DIV/0!</v>
      </c>
      <c r="G22" s="167" t="e">
        <v>#DIV/0!</v>
      </c>
      <c r="H22" s="10"/>
      <c r="I22" s="163" t="e">
        <v>#DIV/0!</v>
      </c>
      <c r="J22" s="164"/>
      <c r="K22" s="164" t="e">
        <v>#DIV/0!</v>
      </c>
      <c r="L22" s="167" t="e">
        <v>#DIV/0!</v>
      </c>
      <c r="M22" s="163"/>
      <c r="N22" s="164"/>
      <c r="O22" s="164"/>
      <c r="P22" s="10"/>
    </row>
    <row r="23" spans="1:16" x14ac:dyDescent="0.25">
      <c r="A23" s="164">
        <v>4.3127273077716088</v>
      </c>
      <c r="B23" s="10">
        <v>3.6404879545392199</v>
      </c>
      <c r="C23" s="167">
        <v>0.49016382475014386</v>
      </c>
      <c r="D23" s="10"/>
      <c r="E23" s="164">
        <v>7.2701528391408097</v>
      </c>
      <c r="F23" s="164">
        <v>2.7303659659044155</v>
      </c>
      <c r="G23" s="167">
        <v>0.6163409872980663</v>
      </c>
      <c r="H23" s="10"/>
      <c r="I23" s="163">
        <v>7.187878846286015</v>
      </c>
      <c r="J23" s="164"/>
      <c r="K23" s="164">
        <v>3.6404879545392199</v>
      </c>
      <c r="L23" s="167">
        <v>0.66736200540708324</v>
      </c>
      <c r="M23" s="163"/>
      <c r="N23" s="164"/>
      <c r="O23" s="164"/>
      <c r="P23" s="10"/>
    </row>
    <row r="24" spans="1:16" x14ac:dyDescent="0.25">
      <c r="A24" s="164">
        <v>3.721729347600546</v>
      </c>
      <c r="B24" s="10">
        <v>2.2543961052466455</v>
      </c>
      <c r="C24" s="167">
        <v>0.45595243846062372</v>
      </c>
      <c r="D24" s="10"/>
      <c r="E24" s="164">
        <v>6.2738817578875494</v>
      </c>
      <c r="F24" s="164">
        <v>1.6907970789349844</v>
      </c>
      <c r="G24" s="167">
        <v>0.60767043226557504</v>
      </c>
      <c r="H24" s="10"/>
      <c r="I24" s="163">
        <v>6.2028822460009101</v>
      </c>
      <c r="J24" s="164"/>
      <c r="K24" s="164">
        <v>2.2543961052466455</v>
      </c>
      <c r="L24" s="167">
        <v>0.64525363756452025</v>
      </c>
      <c r="M24" s="163"/>
      <c r="N24" s="164"/>
      <c r="O24" s="164"/>
      <c r="P24" s="10"/>
    </row>
    <row r="25" spans="1:16" x14ac:dyDescent="0.25">
      <c r="A25" s="164">
        <v>3.2293120678029679</v>
      </c>
      <c r="B25" s="10">
        <v>1.5261114627548684</v>
      </c>
      <c r="C25" s="167">
        <v>0.43640138494065328</v>
      </c>
      <c r="D25" s="10"/>
      <c r="E25" s="164">
        <v>5.4437924363783443</v>
      </c>
      <c r="F25" s="164">
        <v>1.1445835970661515</v>
      </c>
      <c r="G25" s="167">
        <v>0.60460995892992786</v>
      </c>
      <c r="H25" s="10"/>
      <c r="I25" s="163">
        <v>5.3821867796716134</v>
      </c>
      <c r="J25" s="164"/>
      <c r="K25" s="164">
        <v>1.5261114627548684</v>
      </c>
      <c r="L25" s="167">
        <v>0.6339689622186705</v>
      </c>
      <c r="M25" s="163"/>
      <c r="N25" s="164"/>
      <c r="O25" s="164"/>
      <c r="P25" s="10"/>
    </row>
    <row r="26" spans="1:16" x14ac:dyDescent="0.25">
      <c r="A26" s="164">
        <v>2.980101769548825</v>
      </c>
      <c r="B26" s="10">
        <v>1.1545378292409916</v>
      </c>
      <c r="C26" s="167">
        <v>0.45940439986553516</v>
      </c>
      <c r="D26" s="10"/>
      <c r="E26" s="164">
        <v>5.023687748996279</v>
      </c>
      <c r="F26" s="164">
        <v>0.86590337193074385</v>
      </c>
      <c r="G26" s="167">
        <v>0.65439901343633589</v>
      </c>
      <c r="H26" s="10"/>
      <c r="I26" s="163">
        <v>4.966836282581375</v>
      </c>
      <c r="J26" s="164"/>
      <c r="K26" s="164">
        <v>1.1545378292409916</v>
      </c>
      <c r="L26" s="167">
        <v>0.68015267909137411</v>
      </c>
      <c r="M26" s="163"/>
      <c r="N26" s="164"/>
      <c r="O26" s="164"/>
      <c r="P26" s="10"/>
    </row>
  </sheetData>
  <mergeCells count="12">
    <mergeCell ref="M11:Q11"/>
    <mergeCell ref="A1:C1"/>
    <mergeCell ref="E1:G1"/>
    <mergeCell ref="M1:P1"/>
    <mergeCell ref="M16:N16"/>
    <mergeCell ref="M15:N15"/>
    <mergeCell ref="I1:K1"/>
    <mergeCell ref="I15:J15"/>
    <mergeCell ref="I16:J16"/>
    <mergeCell ref="I14:L14"/>
    <mergeCell ref="E14:G14"/>
    <mergeCell ref="A14:C14"/>
  </mergeCells>
  <dataValidations disablePrompts="1" count="2">
    <dataValidation type="list" allowBlank="1" showInputMessage="1" showErrorMessage="1" sqref="B9" xr:uid="{394A462C-F771-4E25-9745-E3A1BBA9E10B}">
      <formula1>"RC II,RC III,RC IV"</formula1>
    </dataValidation>
    <dataValidation type="list" allowBlank="1" showInputMessage="1" showErrorMessage="1" sqref="B6" xr:uid="{FCDC6257-CA86-49AD-80C8-DA3634267B5F}">
      <formula1>"C,D"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Y48"/>
  <sheetViews>
    <sheetView tabSelected="1" zoomScaleNormal="100" workbookViewId="0">
      <selection activeCell="T6" sqref="T6"/>
    </sheetView>
  </sheetViews>
  <sheetFormatPr defaultColWidth="9.140625" defaultRowHeight="15" x14ac:dyDescent="0.25"/>
  <cols>
    <col min="1" max="1" width="10.140625" style="2" customWidth="1"/>
    <col min="2" max="3" width="14.140625" style="2" customWidth="1"/>
    <col min="4" max="4" width="9.28515625" style="44" bestFit="1" customWidth="1"/>
    <col min="5" max="5" width="13.85546875" style="44" bestFit="1" customWidth="1"/>
    <col min="6" max="6" width="13.85546875" style="2" bestFit="1" customWidth="1"/>
    <col min="7" max="7" width="9.28515625" style="2" bestFit="1" customWidth="1"/>
    <col min="8" max="8" width="9.140625" style="2"/>
    <col min="9" max="9" width="9" style="2" bestFit="1" customWidth="1"/>
    <col min="10" max="10" width="8.28515625" style="2" bestFit="1" customWidth="1"/>
    <col min="11" max="11" width="9.140625" style="2" bestFit="1" customWidth="1"/>
    <col min="12" max="12" width="9" style="2" bestFit="1" customWidth="1"/>
    <col min="13" max="14" width="8.28515625" style="2" bestFit="1" customWidth="1"/>
    <col min="15" max="15" width="13.85546875" style="2" bestFit="1" customWidth="1"/>
    <col min="16" max="16" width="13.28515625" style="2" bestFit="1" customWidth="1"/>
    <col min="17" max="17" width="10.42578125" style="2" bestFit="1" customWidth="1"/>
    <col min="18" max="18" width="7.28515625" style="2" bestFit="1" customWidth="1"/>
    <col min="19" max="19" width="8.28515625" style="2" bestFit="1" customWidth="1"/>
    <col min="20" max="16384" width="9.140625" style="2"/>
  </cols>
  <sheetData>
    <row r="1" spans="1:25" ht="15.75" thickBot="1" x14ac:dyDescent="0.3">
      <c r="A1" s="49"/>
      <c r="B1" s="50"/>
      <c r="C1" s="50"/>
      <c r="D1" s="50"/>
      <c r="E1" s="66"/>
      <c r="F1" s="51"/>
      <c r="G1" s="223" t="s">
        <v>100</v>
      </c>
      <c r="H1" s="224"/>
      <c r="I1" s="225"/>
      <c r="J1" s="223" t="s">
        <v>106</v>
      </c>
      <c r="K1" s="224"/>
      <c r="L1" s="225"/>
      <c r="M1" s="220" t="s">
        <v>113</v>
      </c>
      <c r="N1" s="221"/>
      <c r="O1" s="221"/>
      <c r="P1" s="221"/>
      <c r="Q1" s="221"/>
      <c r="R1" s="221"/>
      <c r="S1" s="222"/>
      <c r="T1" s="223" t="s">
        <v>177</v>
      </c>
      <c r="U1" s="224"/>
      <c r="V1" s="224"/>
      <c r="W1" s="224"/>
      <c r="X1" s="225"/>
    </row>
    <row r="2" spans="1:25" ht="18.75" x14ac:dyDescent="0.35">
      <c r="A2" s="28" t="s">
        <v>95</v>
      </c>
      <c r="B2" s="29" t="s">
        <v>96</v>
      </c>
      <c r="C2" s="29" t="s">
        <v>97</v>
      </c>
      <c r="D2" s="64" t="s">
        <v>101</v>
      </c>
      <c r="E2" s="29" t="s">
        <v>102</v>
      </c>
      <c r="F2" s="30" t="s">
        <v>103</v>
      </c>
      <c r="G2" s="31" t="s">
        <v>104</v>
      </c>
      <c r="H2" s="32" t="s">
        <v>175</v>
      </c>
      <c r="I2" s="33" t="s">
        <v>105</v>
      </c>
      <c r="J2" s="31" t="s">
        <v>104</v>
      </c>
      <c r="K2" s="32" t="s">
        <v>175</v>
      </c>
      <c r="L2" s="33" t="s">
        <v>105</v>
      </c>
      <c r="M2" s="31" t="s">
        <v>114</v>
      </c>
      <c r="N2" s="32" t="s">
        <v>115</v>
      </c>
      <c r="O2" s="32" t="s">
        <v>139</v>
      </c>
      <c r="P2" s="32" t="s">
        <v>120</v>
      </c>
      <c r="Q2" s="32" t="s">
        <v>118</v>
      </c>
      <c r="R2" s="32" t="s">
        <v>119</v>
      </c>
      <c r="S2" s="33" t="s">
        <v>116</v>
      </c>
      <c r="T2" s="191" t="s">
        <v>178</v>
      </c>
      <c r="U2" s="191" t="s">
        <v>5</v>
      </c>
      <c r="V2" s="191" t="s">
        <v>86</v>
      </c>
      <c r="W2" s="191" t="s">
        <v>139</v>
      </c>
      <c r="X2" s="193" t="s">
        <v>179</v>
      </c>
      <c r="Y2" s="4"/>
    </row>
    <row r="3" spans="1:25" x14ac:dyDescent="0.25">
      <c r="A3" s="4" t="s">
        <v>98</v>
      </c>
      <c r="B3" s="2">
        <v>0</v>
      </c>
      <c r="C3" s="2">
        <v>0</v>
      </c>
      <c r="D3" s="2" t="s">
        <v>99</v>
      </c>
      <c r="E3" s="2" t="s">
        <v>99</v>
      </c>
      <c r="F3" s="5" t="s">
        <v>99</v>
      </c>
      <c r="G3" s="4">
        <f>'Wind and Seismic'!$B$70</f>
        <v>2122</v>
      </c>
      <c r="H3" s="10"/>
      <c r="I3" s="35">
        <f>'Wind and Seismic'!$B$71</f>
        <v>107.6857</v>
      </c>
      <c r="J3" s="4" cm="1">
        <f t="array" ref="J3:L3">G3:I3</f>
        <v>2122</v>
      </c>
      <c r="K3" s="10">
        <v>0</v>
      </c>
      <c r="L3" s="35">
        <v>107.6857</v>
      </c>
      <c r="M3" s="34">
        <f>'Wind and Seismic'!B67*0.6</f>
        <v>16.003542843231749</v>
      </c>
      <c r="N3" s="10">
        <f>M3</f>
        <v>16.003542843231749</v>
      </c>
      <c r="O3" s="10">
        <f>'Wind and Seismic'!B61</f>
        <v>132.07</v>
      </c>
      <c r="P3" s="10">
        <f>'Wind and Seismic'!B68</f>
        <v>156.31</v>
      </c>
      <c r="Q3" s="10">
        <f>P3-O3</f>
        <v>24.240000000000009</v>
      </c>
      <c r="R3" s="10">
        <f t="shared" ref="R3:R12" si="0">M3*(Q3)</f>
        <v>387.92587851993773</v>
      </c>
      <c r="S3" s="35">
        <f>R3</f>
        <v>387.92587851993773</v>
      </c>
      <c r="T3" s="34">
        <f>0.6*('Wind and Seismic'!$Q$15)</f>
        <v>8.3278758863607436</v>
      </c>
      <c r="U3" s="10">
        <f>'Wind and Seismic'!B72</f>
        <v>2229.6857</v>
      </c>
      <c r="V3" s="10">
        <f>'Wind and Seismic'!B68</f>
        <v>156.31</v>
      </c>
      <c r="W3" s="10" cm="1">
        <f t="array" ref="W3:W12">O3:O12</f>
        <v>132.07</v>
      </c>
      <c r="X3" s="35"/>
    </row>
    <row r="4" spans="1:25" x14ac:dyDescent="0.25">
      <c r="A4" s="4">
        <v>9</v>
      </c>
      <c r="B4" s="2">
        <f>('Wind and Seismic'!K19)*12</f>
        <v>0</v>
      </c>
      <c r="C4" s="44">
        <f>'Wind and Seismic'!K15</f>
        <v>0</v>
      </c>
      <c r="D4" s="10">
        <f>PI()/4*(B4^2-(B4-C4*2)^2)</f>
        <v>0</v>
      </c>
      <c r="E4" s="10">
        <f>PI()/64*(B4^4-(B4-C4*2)^4)</f>
        <v>0</v>
      </c>
      <c r="F4" s="35">
        <f t="shared" ref="F4:F12" si="1">IF(B4=0,0,E4/(B4/2))</f>
        <v>0</v>
      </c>
      <c r="G4" s="4">
        <v>0</v>
      </c>
      <c r="H4" s="10">
        <v>0</v>
      </c>
      <c r="I4" s="35">
        <f>'Wind and Seismic'!K30</f>
        <v>0</v>
      </c>
      <c r="J4" s="4">
        <f>J3+G4</f>
        <v>2122</v>
      </c>
      <c r="K4" s="10">
        <f>K3+H4</f>
        <v>0</v>
      </c>
      <c r="L4" s="35">
        <f t="shared" ref="K4:L12" si="2">L3+I4</f>
        <v>107.6857</v>
      </c>
      <c r="M4" s="34">
        <f>'Wind and Seismic'!K26*0.6</f>
        <v>0</v>
      </c>
      <c r="N4" s="10">
        <f>N3+M4</f>
        <v>16.003542843231749</v>
      </c>
      <c r="O4" s="10">
        <f>'Wind and Seismic'!K16</f>
        <v>132.07</v>
      </c>
      <c r="P4" s="10">
        <f>'Wind and Seismic'!K27</f>
        <v>0</v>
      </c>
      <c r="Q4" s="10">
        <f t="shared" ref="Q4:Q11" si="3">P4-O4</f>
        <v>-132.07</v>
      </c>
      <c r="R4" s="10">
        <f t="shared" si="0"/>
        <v>0</v>
      </c>
      <c r="S4" s="35">
        <f>R4+M3*(P3-O4)</f>
        <v>387.92587851993773</v>
      </c>
      <c r="T4" s="34">
        <f>0.6*('Wind and Seismic'!$Q$15)</f>
        <v>8.3278758863607436</v>
      </c>
      <c r="U4" s="10">
        <f>'Wind and Seismic'!K30</f>
        <v>0</v>
      </c>
      <c r="V4" s="10">
        <f>'Wind and Seismic'!K21</f>
        <v>132.07</v>
      </c>
      <c r="W4" s="10">
        <v>132.07</v>
      </c>
      <c r="X4" s="35">
        <f>IF(B4=0,0,0.6*('Wind and Seismic'!$Q$13*(U3*(V3-W4)+U4*(V4-W4))))</f>
        <v>0</v>
      </c>
    </row>
    <row r="5" spans="1:25" x14ac:dyDescent="0.25">
      <c r="A5" s="4">
        <v>8</v>
      </c>
      <c r="B5" s="2">
        <f>('Wind and Seismic'!H19)*12</f>
        <v>108</v>
      </c>
      <c r="C5" s="44">
        <f>'Wind and Seismic'!H15</f>
        <v>0.56252999999999997</v>
      </c>
      <c r="D5" s="10">
        <f t="shared" ref="D5:D12" si="4">PI()/4*(B5^2-(B5-C5*2)^2)</f>
        <v>189.86780688364962</v>
      </c>
      <c r="E5" s="10">
        <f t="shared" ref="E5:E12" si="5">PI()/64*(B5^4-(B5-C5*2)^4)</f>
        <v>273958.51176863711</v>
      </c>
      <c r="F5" s="35">
        <f t="shared" si="1"/>
        <v>5073.30577349328</v>
      </c>
      <c r="G5" s="4">
        <f t="shared" ref="G5:G12" si="6">G4</f>
        <v>0</v>
      </c>
      <c r="H5" s="10">
        <f t="shared" ref="H5:H12" si="7">H4</f>
        <v>0</v>
      </c>
      <c r="I5" s="35">
        <f>'Wind and Seismic'!H30</f>
        <v>25.8431181591632</v>
      </c>
      <c r="J5" s="4">
        <f t="shared" ref="J5:J12" si="8">J4+G5</f>
        <v>2122</v>
      </c>
      <c r="K5" s="10">
        <f t="shared" si="2"/>
        <v>0</v>
      </c>
      <c r="L5" s="35">
        <f t="shared" si="2"/>
        <v>133.52881815916319</v>
      </c>
      <c r="M5" s="34">
        <f>'Wind and Seismic'!H26*0.6</f>
        <v>3.9956093771090853</v>
      </c>
      <c r="N5" s="10">
        <f t="shared" ref="N5:N12" si="9">N4+M5</f>
        <v>19.999152220340832</v>
      </c>
      <c r="O5" s="10">
        <f>'Wind and Seismic'!H16</f>
        <v>92.07</v>
      </c>
      <c r="P5" s="10">
        <f>'Wind and Seismic'!H27</f>
        <v>112.32305935416932</v>
      </c>
      <c r="Q5" s="10">
        <f t="shared" si="3"/>
        <v>20.253059354169324</v>
      </c>
      <c r="R5" s="10">
        <f t="shared" si="0"/>
        <v>80.923313870665822</v>
      </c>
      <c r="S5" s="35">
        <f>R5+M3*(P3-O5)+M4*(P4-O5)</f>
        <v>1108.9909061198737</v>
      </c>
      <c r="T5" s="34">
        <f>0.6*('Wind and Seismic'!$Q$15)</f>
        <v>8.3278758863607436</v>
      </c>
      <c r="U5" s="10">
        <f>'Wind and Seismic'!H30</f>
        <v>25.8431181591632</v>
      </c>
      <c r="V5" s="10">
        <f>'Wind and Seismic'!H21</f>
        <v>112.07</v>
      </c>
      <c r="W5" s="10">
        <v>92.07</v>
      </c>
      <c r="X5" s="35">
        <f>0.6*('Wind and Seismic'!$Q$13*(U3*(V3-W5)+U4*(V4-W5)+U5*(V5-W5)))</f>
        <v>512.33167084993727</v>
      </c>
    </row>
    <row r="6" spans="1:25" x14ac:dyDescent="0.25">
      <c r="A6" s="4">
        <v>7</v>
      </c>
      <c r="B6" s="2">
        <f>('Wind and Seismic'!E19)*12</f>
        <v>108</v>
      </c>
      <c r="C6" s="44">
        <f>'Wind and Seismic'!E15</f>
        <v>0.625</v>
      </c>
      <c r="D6" s="10">
        <f t="shared" si="4"/>
        <v>210.83031948700253</v>
      </c>
      <c r="E6" s="10">
        <f t="shared" si="5"/>
        <v>303853.43306909391</v>
      </c>
      <c r="F6" s="35">
        <f t="shared" si="1"/>
        <v>5626.9154272054429</v>
      </c>
      <c r="G6" s="4">
        <f t="shared" si="6"/>
        <v>0</v>
      </c>
      <c r="H6" s="10">
        <f t="shared" si="7"/>
        <v>0</v>
      </c>
      <c r="I6" s="35">
        <f>'Wind and Seismic'!E30</f>
        <v>28.696349041286261</v>
      </c>
      <c r="J6" s="4">
        <f t="shared" si="8"/>
        <v>2122</v>
      </c>
      <c r="K6" s="10">
        <f t="shared" si="2"/>
        <v>0</v>
      </c>
      <c r="L6" s="35">
        <f t="shared" si="2"/>
        <v>162.22516720044945</v>
      </c>
      <c r="M6" s="34">
        <f>'Wind and Seismic'!E26*0.6</f>
        <v>3.8879999999999999</v>
      </c>
      <c r="N6" s="10">
        <f t="shared" si="9"/>
        <v>23.88715222034083</v>
      </c>
      <c r="O6" s="10">
        <f>'Wind and Seismic'!E16</f>
        <v>52.07</v>
      </c>
      <c r="P6" s="10">
        <f>'Wind and Seismic'!E27</f>
        <v>72.469492853764308</v>
      </c>
      <c r="Q6" s="10">
        <f t="shared" si="3"/>
        <v>20.399492853764308</v>
      </c>
      <c r="R6" s="10">
        <f t="shared" si="0"/>
        <v>79.313228215435629</v>
      </c>
      <c r="S6" s="35">
        <f>R6+M3*(P3-O6)+M4*(P4-O6)+M5*(P5-O6)</f>
        <v>1988.2702231489425</v>
      </c>
      <c r="T6" s="34">
        <f>0.6*('Wind and Seismic'!$Q$15)</f>
        <v>8.3278758863607436</v>
      </c>
      <c r="U6" s="10">
        <f>'Wind and Seismic'!E30</f>
        <v>28.696349041286261</v>
      </c>
      <c r="V6" s="10">
        <f>'Wind and Seismic'!E21</f>
        <v>72.069999999999993</v>
      </c>
      <c r="W6" s="10">
        <v>52.07</v>
      </c>
      <c r="X6" s="35">
        <f>0.6*('Wind and Seismic'!$Q$13*(U3*(V3-W6)+U4*(V4-W6)+U5*(V5-W6)+U6*(V6-W6)))</f>
        <v>835.92533492637028</v>
      </c>
    </row>
    <row r="7" spans="1:25" x14ac:dyDescent="0.25">
      <c r="A7" s="4">
        <v>6</v>
      </c>
      <c r="B7" s="2">
        <f>('Wind and Seismic'!B19)*12</f>
        <v>108</v>
      </c>
      <c r="C7" s="44">
        <f>'Wind and Seismic'!B15</f>
        <v>0.6875</v>
      </c>
      <c r="D7" s="10">
        <f t="shared" si="4"/>
        <v>231.77836112636885</v>
      </c>
      <c r="E7" s="10">
        <f t="shared" si="5"/>
        <v>333657.85256658786</v>
      </c>
      <c r="F7" s="35">
        <f t="shared" si="1"/>
        <v>6178.849121603479</v>
      </c>
      <c r="G7" s="4">
        <f t="shared" si="6"/>
        <v>0</v>
      </c>
      <c r="H7" s="10">
        <f t="shared" si="7"/>
        <v>0</v>
      </c>
      <c r="I7" s="35">
        <f>'Wind and Seismic'!B30</f>
        <v>21.349845246447941</v>
      </c>
      <c r="J7" s="4">
        <f t="shared" si="8"/>
        <v>2122</v>
      </c>
      <c r="K7" s="10">
        <f t="shared" si="2"/>
        <v>0</v>
      </c>
      <c r="L7" s="35">
        <f t="shared" si="2"/>
        <v>183.5750124468974</v>
      </c>
      <c r="M7" s="34">
        <f>'Wind and Seismic'!B26*0.6</f>
        <v>2.6312039999999999</v>
      </c>
      <c r="N7" s="10">
        <f t="shared" si="9"/>
        <v>26.518356220340831</v>
      </c>
      <c r="O7" s="10">
        <f>'Wind and Seismic'!B16</f>
        <v>25</v>
      </c>
      <c r="P7" s="10">
        <f>'Wind and Seismic'!B27</f>
        <v>38.882758205429177</v>
      </c>
      <c r="Q7" s="10">
        <f t="shared" si="3"/>
        <v>13.882758205429177</v>
      </c>
      <c r="R7" s="10">
        <f t="shared" si="0"/>
        <v>36.528368921158069</v>
      </c>
      <c r="S7" s="35">
        <f>R7+M3*(P3-O7)+M4*(P4-O7)+M5*(P5-O7)+M6*(P6-O7)</f>
        <v>2671.4238026747271</v>
      </c>
      <c r="T7" s="34">
        <f>0.6*('Wind and Seismic'!$Q$15)</f>
        <v>8.3278758863607436</v>
      </c>
      <c r="U7" s="10">
        <f>'Wind and Seismic'!B30</f>
        <v>21.349845246447941</v>
      </c>
      <c r="V7" s="10">
        <f>'Wind and Seismic'!B21</f>
        <v>38.534999999999997</v>
      </c>
      <c r="W7" s="10">
        <v>25</v>
      </c>
      <c r="X7" s="35">
        <f>0.6*('Wind and Seismic'!$Q$13*(U3*(V3-W7)+U4*(V4-W7)+U5*(V5-W7)+U6*(V6-W7)+U7*(V7-W7)))</f>
        <v>1057.331512444332</v>
      </c>
    </row>
    <row r="8" spans="1:25" x14ac:dyDescent="0.25">
      <c r="A8" s="4">
        <v>5</v>
      </c>
      <c r="B8" s="10">
        <f>'Wind and Seismic'!N37*12</f>
        <v>0</v>
      </c>
      <c r="C8" s="10">
        <f>'Wind and Seismic'!N33</f>
        <v>0</v>
      </c>
      <c r="D8" s="10">
        <f t="shared" si="4"/>
        <v>0</v>
      </c>
      <c r="E8" s="10">
        <f t="shared" si="5"/>
        <v>0</v>
      </c>
      <c r="F8" s="35">
        <f t="shared" si="1"/>
        <v>0</v>
      </c>
      <c r="G8" s="4">
        <f t="shared" si="6"/>
        <v>0</v>
      </c>
      <c r="H8" s="10">
        <f t="shared" si="7"/>
        <v>0</v>
      </c>
      <c r="I8" s="35">
        <f>'Wind and Seismic'!N56</f>
        <v>0</v>
      </c>
      <c r="J8" s="4">
        <f t="shared" si="8"/>
        <v>2122</v>
      </c>
      <c r="K8" s="10">
        <f t="shared" si="2"/>
        <v>0</v>
      </c>
      <c r="L8" s="35">
        <f t="shared" si="2"/>
        <v>183.5750124468974</v>
      </c>
      <c r="M8" s="34">
        <f>'Wind and Seismic'!N51*0.6</f>
        <v>0</v>
      </c>
      <c r="N8" s="10">
        <f t="shared" si="9"/>
        <v>26.518356220340831</v>
      </c>
      <c r="O8" s="10">
        <f>'Wind and Seismic'!N34</f>
        <v>0</v>
      </c>
      <c r="P8" s="10">
        <f>'Wind and Seismic'!N52</f>
        <v>0</v>
      </c>
      <c r="Q8" s="10">
        <f t="shared" si="3"/>
        <v>0</v>
      </c>
      <c r="R8" s="10">
        <f t="shared" si="0"/>
        <v>0</v>
      </c>
      <c r="S8" s="35">
        <f>R8+M3*(P3-O8)+M4*(P4-O8)+M5*(P5-O8)+M6*(P6-O8)+M7*(P7-O8)</f>
        <v>3334.3827081832478</v>
      </c>
      <c r="T8" s="34"/>
      <c r="U8" s="10"/>
      <c r="W8" s="10">
        <v>0</v>
      </c>
      <c r="X8" s="35"/>
    </row>
    <row r="9" spans="1:25" x14ac:dyDescent="0.25">
      <c r="A9" s="4">
        <v>4</v>
      </c>
      <c r="B9" s="10">
        <f>'Wind and Seismic'!K37*12</f>
        <v>138.72</v>
      </c>
      <c r="C9" s="44">
        <f>'Wind and Seismic'!K33</f>
        <v>0.75</v>
      </c>
      <c r="D9" s="10">
        <f t="shared" si="4"/>
        <v>325.08415381183772</v>
      </c>
      <c r="E9" s="10">
        <f t="shared" si="5"/>
        <v>773549.2601014172</v>
      </c>
      <c r="F9" s="35">
        <f t="shared" si="1"/>
        <v>11152.670993388369</v>
      </c>
      <c r="G9" s="4">
        <f t="shared" si="6"/>
        <v>0</v>
      </c>
      <c r="H9" s="10">
        <f t="shared" si="7"/>
        <v>0</v>
      </c>
      <c r="I9" s="35">
        <f>'Wind and Seismic'!K56</f>
        <v>3.9396000000000098</v>
      </c>
      <c r="J9" s="4">
        <f t="shared" si="8"/>
        <v>2122</v>
      </c>
      <c r="K9" s="10">
        <f t="shared" si="2"/>
        <v>0</v>
      </c>
      <c r="L9" s="35">
        <f t="shared" si="2"/>
        <v>187.51461244689742</v>
      </c>
      <c r="M9" s="34">
        <f>'Wind and Seismic'!K51*0.6</f>
        <v>0.44409599999999999</v>
      </c>
      <c r="N9" s="10">
        <f t="shared" si="9"/>
        <v>26.962452220340829</v>
      </c>
      <c r="O9" s="10">
        <f>'Wind and Seismic'!K34</f>
        <v>21</v>
      </c>
      <c r="P9" s="10">
        <f>'Wind and Seismic'!K52</f>
        <v>23</v>
      </c>
      <c r="Q9" s="10">
        <f t="shared" si="3"/>
        <v>2</v>
      </c>
      <c r="R9" s="10">
        <f t="shared" si="0"/>
        <v>0.88819199999999998</v>
      </c>
      <c r="S9" s="35">
        <f>R9+M3*(P3-O9)+M4*(P4-O9)+M5*(P5-O9)+M6*(P6-O9)+M7*(P7-O9)+M8*(P8-O9)</f>
        <v>2778.3854195560903</v>
      </c>
      <c r="T9" s="34">
        <f>0.6*('Wind and Seismic'!$Q$15)</f>
        <v>8.3278758863607436</v>
      </c>
      <c r="U9" s="10">
        <f>'Wind and Seismic'!K56</f>
        <v>3.9396000000000098</v>
      </c>
      <c r="V9" s="10">
        <f>'Wind and Seismic'!K46</f>
        <v>22.834835392702754</v>
      </c>
      <c r="W9" s="10">
        <v>21</v>
      </c>
      <c r="X9" s="35">
        <f>0.6*('Wind and Seismic'!$Q$13*(U3*(V3-W9)+U4*(V4-W9)+U5*(V5-W9)+U6*(V6-W9)+U7*(V7-W9)+U9*(V9-W9)))</f>
        <v>1090.2255522581916</v>
      </c>
    </row>
    <row r="10" spans="1:25" x14ac:dyDescent="0.25">
      <c r="A10" s="4">
        <v>3</v>
      </c>
      <c r="B10" s="2">
        <f>('Wind and Seismic'!H37)*12</f>
        <v>192.48</v>
      </c>
      <c r="C10" s="44">
        <f>'Wind and Seismic'!H33</f>
        <v>0.625</v>
      </c>
      <c r="D10" s="10">
        <f t="shared" si="4"/>
        <v>376.70641159654133</v>
      </c>
      <c r="E10" s="10">
        <f t="shared" si="5"/>
        <v>1733260.6519114445</v>
      </c>
      <c r="F10" s="35">
        <f t="shared" si="1"/>
        <v>18009.774022354995</v>
      </c>
      <c r="G10" s="4">
        <f t="shared" si="6"/>
        <v>0</v>
      </c>
      <c r="H10" s="10">
        <f t="shared" si="7"/>
        <v>0</v>
      </c>
      <c r="I10" s="35">
        <f>'Wind and Seismic'!H56</f>
        <v>7.7370999999999821</v>
      </c>
      <c r="J10" s="4">
        <f t="shared" si="8"/>
        <v>2122</v>
      </c>
      <c r="K10" s="10">
        <f t="shared" si="2"/>
        <v>0</v>
      </c>
      <c r="L10" s="35">
        <f t="shared" si="2"/>
        <v>195.25171244689739</v>
      </c>
      <c r="M10" s="34">
        <f>'Wind and Seismic'!H51*0.6</f>
        <v>1.04328</v>
      </c>
      <c r="N10" s="10">
        <f t="shared" si="9"/>
        <v>28.005732220340828</v>
      </c>
      <c r="O10" s="10">
        <f>'Wind and Seismic'!H34</f>
        <v>14</v>
      </c>
      <c r="P10" s="10">
        <f>'Wind and Seismic'!H52</f>
        <v>17.541303882175004</v>
      </c>
      <c r="Q10" s="10">
        <f t="shared" si="3"/>
        <v>3.5413038821750042</v>
      </c>
      <c r="R10" s="10">
        <f t="shared" si="0"/>
        <v>3.6945715141955384</v>
      </c>
      <c r="S10" s="35">
        <f>R10+M3*(P3-O10)+M4*(P4-O10)+M5*(P5-O10)+M6*(P6-O10)+M7*(P7-O10)+M8*(P8-O10)+M9*(P9-O10)</f>
        <v>2970.8171566126716</v>
      </c>
      <c r="T10" s="34">
        <f>0.6*('Wind and Seismic'!$Q$15)</f>
        <v>8.3278758863607436</v>
      </c>
      <c r="U10" s="10">
        <f>'Wind and Seismic'!H56</f>
        <v>7.7370999999999821</v>
      </c>
      <c r="V10" s="10">
        <f>'Wind and Seismic'!H46</f>
        <v>17.12455338676498</v>
      </c>
      <c r="W10" s="10">
        <v>14</v>
      </c>
      <c r="X10" s="35">
        <f>0.6*('Wind and Seismic'!$Q$13*(U3*(V3-W10)+U4*(V4-W10)+U5*(V5-W10)+U6*(V6-W10)+U7*(V7-W10)+U9*(V9-W10)+U10*(V10-W10)))</f>
        <v>1147.9294824453959</v>
      </c>
    </row>
    <row r="11" spans="1:25" x14ac:dyDescent="0.25">
      <c r="A11" s="4">
        <v>2</v>
      </c>
      <c r="B11" s="2">
        <f>('Wind and Seismic'!E37)*12</f>
        <v>246.24</v>
      </c>
      <c r="C11" s="44">
        <f>'Wind and Seismic'!E33</f>
        <v>0.5625</v>
      </c>
      <c r="D11" s="10">
        <f t="shared" si="4"/>
        <v>434.14797889817305</v>
      </c>
      <c r="E11" s="10">
        <f t="shared" si="5"/>
        <v>3275524.4190534228</v>
      </c>
      <c r="F11" s="35">
        <f t="shared" si="1"/>
        <v>26604.324391272115</v>
      </c>
      <c r="G11" s="4">
        <f t="shared" si="6"/>
        <v>0</v>
      </c>
      <c r="H11" s="10">
        <f t="shared" si="7"/>
        <v>0</v>
      </c>
      <c r="I11" s="35">
        <f>'Wind and Seismic'!E56</f>
        <v>9.2266999999999637</v>
      </c>
      <c r="J11" s="4">
        <f t="shared" si="8"/>
        <v>2122</v>
      </c>
      <c r="K11" s="10">
        <f t="shared" si="2"/>
        <v>0</v>
      </c>
      <c r="L11" s="35">
        <f t="shared" si="2"/>
        <v>204.47841244689735</v>
      </c>
      <c r="M11" s="34">
        <f>'Wind and Seismic'!E51*0.6</f>
        <v>1.3819679999999999</v>
      </c>
      <c r="N11" s="10">
        <f t="shared" si="9"/>
        <v>29.387700220340829</v>
      </c>
      <c r="O11" s="10">
        <f>'Wind and Seismic'!E34</f>
        <v>7</v>
      </c>
      <c r="P11" s="10">
        <f>'Wind and Seismic'!E52</f>
        <v>10.5</v>
      </c>
      <c r="Q11" s="10">
        <f t="shared" si="3"/>
        <v>3.5</v>
      </c>
      <c r="R11" s="10">
        <f t="shared" si="0"/>
        <v>4.8368879999999992</v>
      </c>
      <c r="S11" s="35">
        <f>R11+M3*(P3-O11)+M4*(P4-O11)+M5*(P5-O11)+M6*(P6-O11)+M7*(P7-O11)+M8*(P8-O11)+M9*(P9-O11)+M10*(P10-O11)</f>
        <v>3171.6941701550568</v>
      </c>
      <c r="T11" s="34">
        <f>0.6*('Wind and Seismic'!$Q$15)</f>
        <v>8.3278758863607436</v>
      </c>
      <c r="U11" s="10">
        <f>'Wind and Seismic'!E56</f>
        <v>9.2266999999999637</v>
      </c>
      <c r="V11" s="10">
        <f>'Wind and Seismic'!E46</f>
        <v>10.215501291919903</v>
      </c>
      <c r="W11" s="10">
        <v>7</v>
      </c>
      <c r="X11" s="35">
        <f>0.6*('Wind and Seismic'!$Q$13*(U3*(V3-W11)+U4*(V4-W11)+U5*(V5-W11)+U6*(V6-W11)+U7*(V7-W11)+U9*(V9-W11)+U10*(V10-W11)+U11*(V11-W11)))</f>
        <v>1205.8460165795259</v>
      </c>
    </row>
    <row r="12" spans="1:25" ht="15.75" thickBot="1" x14ac:dyDescent="0.3">
      <c r="A12" s="6">
        <v>1</v>
      </c>
      <c r="B12" s="7">
        <f>('Wind and Seismic'!B37)*12</f>
        <v>300</v>
      </c>
      <c r="C12" s="62">
        <f>'Wind and Seismic'!B33</f>
        <v>0.5</v>
      </c>
      <c r="D12" s="9">
        <f t="shared" si="4"/>
        <v>470.45349987507154</v>
      </c>
      <c r="E12" s="9">
        <f t="shared" si="5"/>
        <v>5274989.2706929818</v>
      </c>
      <c r="F12" s="36">
        <f t="shared" si="1"/>
        <v>35166.595137953213</v>
      </c>
      <c r="G12" s="6">
        <f t="shared" si="6"/>
        <v>0</v>
      </c>
      <c r="H12" s="9">
        <f t="shared" si="7"/>
        <v>0</v>
      </c>
      <c r="I12" s="36">
        <f>'Wind and Seismic'!B56</f>
        <v>10.187099999999981</v>
      </c>
      <c r="J12" s="6">
        <f t="shared" si="8"/>
        <v>2122</v>
      </c>
      <c r="K12" s="9">
        <f t="shared" si="2"/>
        <v>0</v>
      </c>
      <c r="L12" s="36">
        <f t="shared" si="2"/>
        <v>214.66551244689734</v>
      </c>
      <c r="M12" s="37">
        <f>'Wind and Seismic'!B51*0.6</f>
        <v>1.7206559999999997</v>
      </c>
      <c r="N12" s="9">
        <f t="shared" si="9"/>
        <v>31.108356220340827</v>
      </c>
      <c r="O12" s="9">
        <f>'Wind and Seismic'!B34</f>
        <v>0</v>
      </c>
      <c r="P12" s="9">
        <f>'Wind and Seismic'!B52</f>
        <v>3.5</v>
      </c>
      <c r="Q12" s="9">
        <f>P12-O12</f>
        <v>3.5</v>
      </c>
      <c r="R12" s="9">
        <f t="shared" si="0"/>
        <v>6.022295999999999</v>
      </c>
      <c r="S12" s="36">
        <f>R12+M3*(P3-O12)+M4*(P4-O12)+M5*(P5-O12)+M6*(P6-O12)+M7*(P7-O12)+M8*(P8-O12)+M9*(P9-O12)+M10*(P10-O12)+M11*(P11-O12)</f>
        <v>3383.4303676974432</v>
      </c>
      <c r="T12" s="37">
        <f>0.6*('Wind and Seismic'!$Q$15)</f>
        <v>8.3278758863607436</v>
      </c>
      <c r="U12" s="9">
        <f>'Wind and Seismic'!B56</f>
        <v>10.187099999999981</v>
      </c>
      <c r="V12" s="9">
        <f>'Wind and Seismic'!B46</f>
        <v>3.2710964174549142</v>
      </c>
      <c r="W12" s="9">
        <v>0</v>
      </c>
      <c r="X12" s="36">
        <f>0.6*('Wind and Seismic'!$Q$13*(U3*(V3-W12)+U4*(V4-W12)+U5*(V5-W12)+U6*(V6-W12)+U7*(V7-W12)+U10*(V10-W12)+U11*(V11-W12)+U12*(V12-W12)))</f>
        <v>1263.6851452776582</v>
      </c>
    </row>
    <row r="13" spans="1:25" ht="15.75" thickBot="1" x14ac:dyDescent="0.3">
      <c r="D13" s="2"/>
      <c r="E13" s="2"/>
    </row>
    <row r="14" spans="1:25" ht="15.75" thickBot="1" x14ac:dyDescent="0.3">
      <c r="A14" s="226" t="s">
        <v>80</v>
      </c>
      <c r="B14" s="227"/>
      <c r="C14" s="228"/>
      <c r="D14" s="2"/>
      <c r="E14" s="2"/>
    </row>
    <row r="15" spans="1:25" ht="18" x14ac:dyDescent="0.35">
      <c r="A15" s="4" t="s">
        <v>74</v>
      </c>
      <c r="B15" s="2">
        <v>36000</v>
      </c>
      <c r="C15" s="5" t="s">
        <v>94</v>
      </c>
      <c r="D15" s="2"/>
    </row>
    <row r="16" spans="1:25" x14ac:dyDescent="0.25">
      <c r="A16" s="4" t="s">
        <v>75</v>
      </c>
      <c r="B16" s="2">
        <v>2</v>
      </c>
      <c r="C16" s="5"/>
      <c r="D16" s="2"/>
    </row>
    <row r="17" spans="1:17" x14ac:dyDescent="0.25">
      <c r="A17" s="4"/>
      <c r="C17" s="5"/>
      <c r="D17" s="2"/>
    </row>
    <row r="18" spans="1:17" ht="18" x14ac:dyDescent="0.35">
      <c r="A18" s="4" t="s">
        <v>78</v>
      </c>
      <c r="B18" s="2">
        <f>VLOOKUP(B15,P21:Q27,2,FALSE)</f>
        <v>334</v>
      </c>
      <c r="C18" s="5"/>
      <c r="D18" s="2"/>
    </row>
    <row r="19" spans="1:17" ht="15.75" thickBot="1" x14ac:dyDescent="0.3">
      <c r="A19" s="6" t="s">
        <v>79</v>
      </c>
      <c r="B19" s="7">
        <v>29000000</v>
      </c>
      <c r="C19" s="8" t="s">
        <v>94</v>
      </c>
      <c r="D19" s="2"/>
    </row>
    <row r="20" spans="1:17" s="72" customFormat="1" ht="18.75" thickBot="1" x14ac:dyDescent="0.3">
      <c r="A20" s="69" t="s">
        <v>95</v>
      </c>
      <c r="B20" s="70" t="s">
        <v>107</v>
      </c>
      <c r="C20" s="70" t="s">
        <v>97</v>
      </c>
      <c r="D20" s="70" t="s">
        <v>77</v>
      </c>
      <c r="E20" s="70" t="s">
        <v>101</v>
      </c>
      <c r="F20" s="70" t="s">
        <v>102</v>
      </c>
      <c r="G20" s="70" t="s">
        <v>108</v>
      </c>
      <c r="H20" s="70" t="s">
        <v>109</v>
      </c>
      <c r="I20" s="70" t="s">
        <v>137</v>
      </c>
      <c r="J20" s="70" t="s">
        <v>76</v>
      </c>
      <c r="K20" s="70" t="s">
        <v>110</v>
      </c>
      <c r="L20" s="70" t="s">
        <v>111</v>
      </c>
      <c r="M20" s="70" t="s">
        <v>136</v>
      </c>
      <c r="N20" s="71" t="s">
        <v>135</v>
      </c>
      <c r="P20" s="73" t="s">
        <v>121</v>
      </c>
      <c r="Q20" s="74" t="s">
        <v>78</v>
      </c>
    </row>
    <row r="21" spans="1:17" x14ac:dyDescent="0.25">
      <c r="A21" s="4" t="str" cm="1">
        <f t="array" ref="A21:A30">A3:A12</f>
        <v>Tank</v>
      </c>
      <c r="B21" s="2" t="s">
        <v>99</v>
      </c>
      <c r="C21" s="2" t="s">
        <v>99</v>
      </c>
      <c r="D21" s="2" t="s">
        <v>99</v>
      </c>
      <c r="E21" s="2" t="s">
        <v>99</v>
      </c>
      <c r="F21" s="2" t="s">
        <v>99</v>
      </c>
      <c r="G21" s="2" t="s">
        <v>99</v>
      </c>
      <c r="H21" s="2" t="s">
        <v>99</v>
      </c>
      <c r="I21" s="2" t="s">
        <v>99</v>
      </c>
      <c r="J21" s="2" t="s">
        <v>99</v>
      </c>
      <c r="K21" s="2" t="s">
        <v>99</v>
      </c>
      <c r="L21" s="2" t="s">
        <v>99</v>
      </c>
      <c r="M21" s="2" t="s">
        <v>99</v>
      </c>
      <c r="N21" s="5" t="str" cm="1">
        <f t="array" ref="N21:N30">I21:I30</f>
        <v>-</v>
      </c>
      <c r="P21" s="4">
        <v>30000</v>
      </c>
      <c r="Q21" s="40">
        <v>403</v>
      </c>
    </row>
    <row r="22" spans="1:17" x14ac:dyDescent="0.25">
      <c r="A22" s="4">
        <v>9</v>
      </c>
      <c r="B22" s="10" cm="1">
        <f t="array" ref="B22:B30">B4:B12/2</f>
        <v>0</v>
      </c>
      <c r="C22" s="44" cm="1">
        <f t="array" ref="C22:C30">C4:C12</f>
        <v>0</v>
      </c>
      <c r="D22" s="44">
        <f>IF(B22=0,0,B22/C22)</f>
        <v>0</v>
      </c>
      <c r="E22" s="44" cm="1">
        <f t="array" ref="E22:E30">D4:D12</f>
        <v>0</v>
      </c>
      <c r="F22" s="44" cm="1">
        <f t="array" ref="F22:F30">E4:E12</f>
        <v>0</v>
      </c>
      <c r="G22" s="44">
        <f>IF(B22=0,0,SQRT(F22/E22))</f>
        <v>0</v>
      </c>
      <c r="H22" s="44">
        <f>IF(B22=0,0,MAX(0.125,1022/(195+D22)))</f>
        <v>0</v>
      </c>
      <c r="I22" s="44">
        <f>IF(B22=0,0,IF(D22&lt;$B$18,MIN(233*$B$15/(2*(166+D22)),$B$15/2),H22*$B$19/2/D22)/1000)</f>
        <v>0</v>
      </c>
      <c r="J22" s="44">
        <f>IF(B22=0,0,$B$16*12*('Wind and Seismic'!B35+'Wind and Seismic'!E35+'Wind and Seismic'!H35+'Wind and Seismic'!K35+'Wind and Seismic'!N35+'Wind and Seismic'!B17+'Wind and Seismic'!E17+'Wind and Seismic'!H17+'Wind and Seismic'!K17)/((G22+G23+G24+G25+G26+G27+G28+G29+G30)/9))</f>
        <v>0</v>
      </c>
      <c r="K22" s="44">
        <f>IF(B22=0,0,SQRT(PI()^2*$B$19/I22/1000))</f>
        <v>0</v>
      </c>
      <c r="L22" s="44">
        <f>IF(B22=0,0,IF(J22&gt;K22,0.5*(K22/J22)^2,IF(J22&lt;25,1,1-0.5*(J22/K22)^2)))</f>
        <v>0</v>
      </c>
      <c r="M22" s="44">
        <f>IF(B22=0,0,L22*I22)</f>
        <v>0</v>
      </c>
      <c r="N22" s="63">
        <v>0</v>
      </c>
      <c r="P22" s="4">
        <v>32000</v>
      </c>
      <c r="Q22" s="40">
        <v>377</v>
      </c>
    </row>
    <row r="23" spans="1:17" x14ac:dyDescent="0.25">
      <c r="A23" s="4">
        <v>8</v>
      </c>
      <c r="B23" s="10">
        <v>54</v>
      </c>
      <c r="C23" s="44">
        <v>0.56252999999999997</v>
      </c>
      <c r="D23" s="10">
        <f t="shared" ref="D23:D30" si="10">IF(B23=0,0,B23/C23)</f>
        <v>95.994880273052104</v>
      </c>
      <c r="E23" s="10">
        <v>189.86780688364962</v>
      </c>
      <c r="F23" s="10">
        <v>273958.51176863711</v>
      </c>
      <c r="G23" s="10">
        <f t="shared" ref="G23:G30" si="11">IF(B23=0,0,SQRT(F23/E23))</f>
        <v>37.985402459368828</v>
      </c>
      <c r="H23" s="10">
        <f t="shared" ref="H23:H30" si="12">IF(B23=0,0,MAX(0.125,1022/(195+D23)))</f>
        <v>3.5120892815743585</v>
      </c>
      <c r="I23" s="10">
        <f t="shared" ref="I23:I29" si="13">IF(B23=0,0,IF(D23&lt;$B$18,MIN(233*$B$15/(2*(166+D23)),$B$15/2),H23*$B$19/2/D23)/1000)</f>
        <v>16.007946398147155</v>
      </c>
      <c r="J23" s="10">
        <f>IF(B23=0,0,$B$16*12*('Wind and Seismic'!B35+'Wind and Seismic'!E35+'Wind and Seismic'!H35+'Wind and Seismic'!K35+'Wind and Seismic'!N35+'Wind and Seismic'!B17+'Wind and Seismic'!E17+'Wind and Seismic'!H17)/((G23+G24+G25+G26+G27+G28+G29+G30)/7))</f>
        <v>52.422118723018237</v>
      </c>
      <c r="K23" s="10">
        <f t="shared" ref="K23:K30" si="14">IF(B23=0,0,SQRT(PI()^2*$B$19/I23/1000))</f>
        <v>133.71528703670194</v>
      </c>
      <c r="L23" s="10">
        <f t="shared" ref="L23:L30" si="15">IF(B23=0,0,IF(J23&gt;K23,0.5*(K23/J23)^2,IF(J23&lt;25,1,1-0.5*(J23/K23)^2)))</f>
        <v>0.92315121213023421</v>
      </c>
      <c r="M23" s="10">
        <f t="shared" ref="M23:M30" si="16">IF(B23=0,0,L23*I23)</f>
        <v>14.777755121165363</v>
      </c>
      <c r="N23" s="35">
        <v>16.007946398147155</v>
      </c>
      <c r="P23" s="4">
        <v>34000</v>
      </c>
      <c r="Q23" s="40">
        <v>354</v>
      </c>
    </row>
    <row r="24" spans="1:17" x14ac:dyDescent="0.25">
      <c r="A24" s="4">
        <v>7</v>
      </c>
      <c r="B24" s="10">
        <v>54</v>
      </c>
      <c r="C24" s="44">
        <v>0.625</v>
      </c>
      <c r="D24" s="10">
        <f t="shared" si="10"/>
        <v>86.4</v>
      </c>
      <c r="E24" s="10">
        <v>210.83031948700253</v>
      </c>
      <c r="F24" s="10">
        <v>303853.43306909391</v>
      </c>
      <c r="G24" s="10">
        <f t="shared" si="11"/>
        <v>37.963438414479796</v>
      </c>
      <c r="H24" s="10">
        <f t="shared" si="12"/>
        <v>3.6318407960199006</v>
      </c>
      <c r="I24" s="10">
        <f t="shared" si="13"/>
        <v>16.616481774960381</v>
      </c>
      <c r="J24" s="10">
        <f>IF(B24=0,0,$B$16*12*('Wind and Seismic'!B35+'Wind and Seismic'!E35+'Wind and Seismic'!H35+'Wind and Seismic'!K35+'Wind and Seismic'!N35+'Wind and Seismic'!B17+'Wind and Seismic'!E17)/((G24+G25+G26+G27+G28+G29+G30)/6))</f>
        <v>34.412753176984282</v>
      </c>
      <c r="K24" s="10">
        <f t="shared" si="14"/>
        <v>131.24396243734432</v>
      </c>
      <c r="L24" s="10">
        <f t="shared" si="15"/>
        <v>0.96562440882426992</v>
      </c>
      <c r="M24" s="10">
        <f t="shared" si="16"/>
        <v>16.045280390685374</v>
      </c>
      <c r="N24" s="35">
        <v>16.616481774960381</v>
      </c>
      <c r="P24" s="4">
        <v>36000</v>
      </c>
      <c r="Q24" s="40">
        <v>334</v>
      </c>
    </row>
    <row r="25" spans="1:17" x14ac:dyDescent="0.25">
      <c r="A25" s="4">
        <v>6</v>
      </c>
      <c r="B25" s="10">
        <v>54</v>
      </c>
      <c r="C25" s="44">
        <v>0.6875</v>
      </c>
      <c r="D25" s="10">
        <f t="shared" si="10"/>
        <v>78.545454545454547</v>
      </c>
      <c r="E25" s="10">
        <v>231.77836112636885</v>
      </c>
      <c r="F25" s="10">
        <v>333657.85256658786</v>
      </c>
      <c r="G25" s="10">
        <f t="shared" si="11"/>
        <v>37.941476830277708</v>
      </c>
      <c r="H25" s="10">
        <f t="shared" si="12"/>
        <v>3.7361249584579594</v>
      </c>
      <c r="I25" s="10">
        <f t="shared" si="13"/>
        <v>17.150185873605949</v>
      </c>
      <c r="J25" s="10">
        <f>IF(B25=0,0,$B$16*12*('Wind and Seismic'!B35+'Wind and Seismic'!E35+'Wind and Seismic'!H35+'Wind and Seismic'!K35+'Wind and Seismic'!N35+'Wind and Seismic'!B17)/((G25+G26+G27+G28+G29+G30)/5))</f>
        <v>17.991204798395536</v>
      </c>
      <c r="K25" s="10">
        <f t="shared" si="14"/>
        <v>129.18570392636511</v>
      </c>
      <c r="L25" s="10">
        <f t="shared" si="15"/>
        <v>1</v>
      </c>
      <c r="M25" s="10">
        <f t="shared" si="16"/>
        <v>17.150185873605949</v>
      </c>
      <c r="N25" s="35">
        <v>17.150185873605949</v>
      </c>
      <c r="P25" s="4">
        <v>38000</v>
      </c>
      <c r="Q25" s="40">
        <v>316</v>
      </c>
    </row>
    <row r="26" spans="1:17" ht="15.75" thickBot="1" x14ac:dyDescent="0.3">
      <c r="A26" s="4">
        <v>5</v>
      </c>
      <c r="B26" s="2">
        <v>0</v>
      </c>
      <c r="C26" s="2">
        <v>0</v>
      </c>
      <c r="D26" s="10">
        <f t="shared" si="10"/>
        <v>0</v>
      </c>
      <c r="E26" s="10">
        <v>0</v>
      </c>
      <c r="F26" s="10">
        <v>0</v>
      </c>
      <c r="G26" s="10">
        <f t="shared" si="11"/>
        <v>0</v>
      </c>
      <c r="H26" s="10">
        <f t="shared" si="12"/>
        <v>0</v>
      </c>
      <c r="I26" s="10">
        <f t="shared" si="13"/>
        <v>0</v>
      </c>
      <c r="J26" s="10">
        <f>IF(B26=0,0,$B$16*12*('Wind and Seismic'!B35+'Wind and Seismic'!E35+'Wind and Seismic'!H35+'Wind and Seismic'!K35+'Wind and Seismic'!N35)/((G26+G27+G28+G29+G30)/5))</f>
        <v>0</v>
      </c>
      <c r="K26" s="10">
        <f t="shared" si="14"/>
        <v>0</v>
      </c>
      <c r="L26" s="10">
        <f t="shared" si="15"/>
        <v>0</v>
      </c>
      <c r="M26" s="10">
        <f t="shared" si="16"/>
        <v>0</v>
      </c>
      <c r="N26" s="35">
        <v>0</v>
      </c>
      <c r="P26" s="6">
        <v>40000</v>
      </c>
      <c r="Q26" s="41">
        <v>299</v>
      </c>
    </row>
    <row r="27" spans="1:17" x14ac:dyDescent="0.25">
      <c r="A27" s="4">
        <v>4</v>
      </c>
      <c r="B27" s="2">
        <v>69.36</v>
      </c>
      <c r="C27" s="44">
        <v>0.75</v>
      </c>
      <c r="D27" s="10">
        <f t="shared" si="10"/>
        <v>92.48</v>
      </c>
      <c r="E27" s="10">
        <v>325.08415381183772</v>
      </c>
      <c r="F27" s="10">
        <v>773549.2601014172</v>
      </c>
      <c r="G27" s="10">
        <f t="shared" si="11"/>
        <v>48.780482008688701</v>
      </c>
      <c r="H27" s="10">
        <f t="shared" si="12"/>
        <v>3.5550299151245301</v>
      </c>
      <c r="I27" s="10">
        <f t="shared" si="13"/>
        <v>16.225626740947074</v>
      </c>
      <c r="J27" s="10">
        <f>IF(B27=0,0,$B$16*12*('Wind and Seismic'!B35+'Wind and Seismic'!E35+'Wind and Seismic'!H35+'Wind and Seismic'!K35)/((G27+G28+G29+G30)/4))</f>
        <v>7.7579128675342499</v>
      </c>
      <c r="K27" s="10">
        <f t="shared" si="14"/>
        <v>132.81530718682825</v>
      </c>
      <c r="L27" s="10">
        <f t="shared" si="15"/>
        <v>1</v>
      </c>
      <c r="M27" s="10">
        <f t="shared" si="16"/>
        <v>16.225626740947074</v>
      </c>
      <c r="N27" s="35">
        <v>16.225626740947074</v>
      </c>
      <c r="O27" s="4"/>
      <c r="P27" s="50"/>
      <c r="Q27" s="50"/>
    </row>
    <row r="28" spans="1:17" x14ac:dyDescent="0.25">
      <c r="A28" s="4">
        <v>3</v>
      </c>
      <c r="B28" s="2">
        <v>96.24</v>
      </c>
      <c r="C28" s="44">
        <v>0.625</v>
      </c>
      <c r="D28" s="10">
        <f t="shared" si="10"/>
        <v>153.98399999999998</v>
      </c>
      <c r="E28" s="10">
        <v>376.70641159654133</v>
      </c>
      <c r="F28" s="10">
        <v>1733260.6519114445</v>
      </c>
      <c r="G28" s="10">
        <f t="shared" si="11"/>
        <v>67.831345676243259</v>
      </c>
      <c r="H28" s="10">
        <f t="shared" si="12"/>
        <v>2.9285010201040738</v>
      </c>
      <c r="I28" s="10">
        <f t="shared" si="13"/>
        <v>13.106905345267263</v>
      </c>
      <c r="J28" s="10">
        <f>IF(B28=0,0,$B$16*12*('Wind and Seismic'!B35+'Wind and Seismic'!E35+'Wind and Seismic'!H35)/((G28+G29+G30)/3))</f>
        <v>5.8024167828407247</v>
      </c>
      <c r="K28" s="10">
        <f t="shared" si="14"/>
        <v>147.77425893449859</v>
      </c>
      <c r="L28" s="10">
        <f t="shared" si="15"/>
        <v>1</v>
      </c>
      <c r="M28" s="10">
        <f t="shared" si="16"/>
        <v>13.106905345267263</v>
      </c>
      <c r="N28" s="35">
        <v>13.106905345267263</v>
      </c>
      <c r="O28" s="4"/>
    </row>
    <row r="29" spans="1:17" x14ac:dyDescent="0.25">
      <c r="A29" s="4">
        <v>2</v>
      </c>
      <c r="B29" s="2">
        <v>123.12</v>
      </c>
      <c r="C29" s="2">
        <v>0.5625</v>
      </c>
      <c r="D29" s="10">
        <f t="shared" si="10"/>
        <v>218.88</v>
      </c>
      <c r="E29" s="10">
        <v>434.14797889817305</v>
      </c>
      <c r="F29" s="10">
        <v>3275524.4190534228</v>
      </c>
      <c r="G29" s="10">
        <f t="shared" si="11"/>
        <v>86.86034078658993</v>
      </c>
      <c r="H29" s="10">
        <f t="shared" si="12"/>
        <v>2.4693147772301152</v>
      </c>
      <c r="I29" s="10">
        <f t="shared" si="13"/>
        <v>10.896902930783622</v>
      </c>
      <c r="J29" s="10">
        <f>IF(B29=0,0,$B$16*12*('Wind and Seismic'!E35+'Wind and Seismic'!B35)/((G29+G30)/2))</f>
        <v>3.4863862277913125</v>
      </c>
      <c r="K29" s="10">
        <f t="shared" si="14"/>
        <v>162.06802156335149</v>
      </c>
      <c r="L29" s="10">
        <f t="shared" si="15"/>
        <v>1</v>
      </c>
      <c r="M29" s="10">
        <f t="shared" si="16"/>
        <v>10.896902930783622</v>
      </c>
      <c r="N29" s="35">
        <v>10.896902930783622</v>
      </c>
    </row>
    <row r="30" spans="1:17" ht="15.75" thickBot="1" x14ac:dyDescent="0.3">
      <c r="A30" s="43">
        <v>1</v>
      </c>
      <c r="B30" s="67">
        <v>150</v>
      </c>
      <c r="C30" s="65">
        <v>0.5</v>
      </c>
      <c r="D30" s="9">
        <f t="shared" si="10"/>
        <v>300</v>
      </c>
      <c r="E30" s="67">
        <v>470.45349987507154</v>
      </c>
      <c r="F30" s="67">
        <v>5274989.2706929818</v>
      </c>
      <c r="G30" s="9">
        <f t="shared" si="11"/>
        <v>105.88938804242851</v>
      </c>
      <c r="H30" s="9">
        <f t="shared" si="12"/>
        <v>2.0646464646464646</v>
      </c>
      <c r="I30" s="9">
        <f>IF(B30=0,0,IF(D30&lt;$B$18,MIN(233*$B$15/(2*(166+D30)),$B$15/2),H30*$B$19/(2*D30))/1000)</f>
        <v>9</v>
      </c>
      <c r="J30" s="9">
        <f>IF(B30=0,0,$B$16*12*'Wind and Seismic'!B35/G30)</f>
        <v>1.5865612513756768</v>
      </c>
      <c r="K30" s="9">
        <f t="shared" si="14"/>
        <v>178.33131700778856</v>
      </c>
      <c r="L30" s="9">
        <f t="shared" si="15"/>
        <v>1</v>
      </c>
      <c r="M30" s="9">
        <f t="shared" si="16"/>
        <v>9</v>
      </c>
      <c r="N30" s="188">
        <v>9</v>
      </c>
    </row>
    <row r="31" spans="1:17" ht="15.75" thickBot="1" x14ac:dyDescent="0.3">
      <c r="D31" s="2"/>
    </row>
    <row r="32" spans="1:17" ht="18.75" thickBot="1" x14ac:dyDescent="0.4">
      <c r="A32" s="38" t="str" cm="1">
        <f t="array" ref="A32:A42">A20:A30</f>
        <v>Segement</v>
      </c>
      <c r="B32" s="39" t="s">
        <v>73</v>
      </c>
      <c r="C32" s="39" t="s">
        <v>72</v>
      </c>
      <c r="D32" s="42" t="s">
        <v>112</v>
      </c>
    </row>
    <row r="33" spans="1:4" x14ac:dyDescent="0.25">
      <c r="A33" s="4" t="str">
        <v>Tank</v>
      </c>
      <c r="B33" s="40" t="s">
        <v>99</v>
      </c>
      <c r="C33" s="40" t="s">
        <v>99</v>
      </c>
      <c r="D33" s="5" t="s">
        <v>99</v>
      </c>
    </row>
    <row r="34" spans="1:4" x14ac:dyDescent="0.25">
      <c r="A34" s="4">
        <v>9</v>
      </c>
      <c r="B34" s="68">
        <f>IF(D4=0,0,(J4+K4+L4)/D4)</f>
        <v>0</v>
      </c>
      <c r="C34" s="68">
        <f>IF(F4=0,0,S4*12/F4)</f>
        <v>0</v>
      </c>
      <c r="D34" s="63" t="str">
        <f>IF(B34+C34=0,"NA",B34/M22+C34/N22)</f>
        <v>NA</v>
      </c>
    </row>
    <row r="35" spans="1:4" x14ac:dyDescent="0.25">
      <c r="A35" s="4">
        <v>8</v>
      </c>
      <c r="B35" s="189">
        <f t="shared" ref="B35:B42" si="17">IF(D5=0,0,(J5+K5+L5)/D5)</f>
        <v>11.879469485531814</v>
      </c>
      <c r="C35" s="189">
        <f t="shared" ref="C35:C42" si="18">IF(F5=0,0,S5*12/F5)</f>
        <v>2.6231202035896981</v>
      </c>
      <c r="D35" s="35">
        <f t="shared" ref="D35:D42" si="19">IF(B35+C35=0,"NA",B35/M23+C35/N23)</f>
        <v>0.96773873729687199</v>
      </c>
    </row>
    <row r="36" spans="1:4" x14ac:dyDescent="0.25">
      <c r="A36" s="4">
        <v>7</v>
      </c>
      <c r="B36" s="189">
        <f t="shared" si="17"/>
        <v>10.834424445015697</v>
      </c>
      <c r="C36" s="189">
        <f t="shared" si="18"/>
        <v>4.2401992684003762</v>
      </c>
      <c r="D36" s="35">
        <f t="shared" si="19"/>
        <v>0.93042090841419234</v>
      </c>
    </row>
    <row r="37" spans="1:4" x14ac:dyDescent="0.25">
      <c r="A37" s="4">
        <v>6</v>
      </c>
      <c r="B37" s="189">
        <f t="shared" si="17"/>
        <v>9.9473264080500812</v>
      </c>
      <c r="C37" s="189">
        <f t="shared" si="18"/>
        <v>5.1881968633954214</v>
      </c>
      <c r="D37" s="35">
        <f t="shared" si="19"/>
        <v>0.88252823514519441</v>
      </c>
    </row>
    <row r="38" spans="1:4" x14ac:dyDescent="0.25">
      <c r="A38" s="4">
        <v>5</v>
      </c>
      <c r="B38" s="189">
        <f t="shared" si="17"/>
        <v>0</v>
      </c>
      <c r="C38" s="189">
        <f t="shared" si="18"/>
        <v>0</v>
      </c>
      <c r="D38" s="35" t="str">
        <f t="shared" si="19"/>
        <v>NA</v>
      </c>
    </row>
    <row r="39" spans="1:4" x14ac:dyDescent="0.25">
      <c r="A39" s="4">
        <v>4</v>
      </c>
      <c r="B39" s="189">
        <f t="shared" si="17"/>
        <v>7.1043592416493784</v>
      </c>
      <c r="C39" s="189">
        <f t="shared" si="18"/>
        <v>2.9894744545444212</v>
      </c>
      <c r="D39" s="35">
        <f t="shared" si="19"/>
        <v>0.62209206814310281</v>
      </c>
    </row>
    <row r="40" spans="1:4" x14ac:dyDescent="0.25">
      <c r="A40" s="4">
        <v>3</v>
      </c>
      <c r="B40" s="189">
        <f t="shared" si="17"/>
        <v>6.1513466219648825</v>
      </c>
      <c r="C40" s="189">
        <f t="shared" si="18"/>
        <v>1.9794699164520899</v>
      </c>
      <c r="D40" s="35">
        <f t="shared" si="19"/>
        <v>0.62034601793724764</v>
      </c>
    </row>
    <row r="41" spans="1:4" x14ac:dyDescent="0.25">
      <c r="A41" s="4">
        <v>2</v>
      </c>
      <c r="B41" s="189">
        <f t="shared" si="17"/>
        <v>5.3587221996317522</v>
      </c>
      <c r="C41" s="189">
        <f t="shared" si="18"/>
        <v>1.4306068999198811</v>
      </c>
      <c r="D41" s="35">
        <f t="shared" si="19"/>
        <v>0.62305125985584942</v>
      </c>
    </row>
    <row r="42" spans="1:4" ht="15.75" thickBot="1" x14ac:dyDescent="0.3">
      <c r="A42" s="6">
        <v>1</v>
      </c>
      <c r="B42" s="190">
        <f t="shared" si="17"/>
        <v>4.966836282581375</v>
      </c>
      <c r="C42" s="190">
        <f t="shared" si="18"/>
        <v>1.1545378292409918</v>
      </c>
      <c r="D42" s="36">
        <f t="shared" si="19"/>
        <v>0.68015267909137411</v>
      </c>
    </row>
    <row r="43" spans="1:4" x14ac:dyDescent="0.25">
      <c r="D43" s="2"/>
    </row>
    <row r="44" spans="1:4" x14ac:dyDescent="0.25">
      <c r="D44" s="2"/>
    </row>
    <row r="45" spans="1:4" x14ac:dyDescent="0.25">
      <c r="D45" s="2"/>
    </row>
    <row r="46" spans="1:4" x14ac:dyDescent="0.25">
      <c r="D46" s="2"/>
    </row>
    <row r="47" spans="1:4" x14ac:dyDescent="0.25">
      <c r="D47" s="2"/>
    </row>
    <row r="48" spans="1:4" x14ac:dyDescent="0.25">
      <c r="D48" s="2"/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14"/>
  <sheetViews>
    <sheetView workbookViewId="0">
      <selection activeCell="E28" sqref="E28"/>
    </sheetView>
  </sheetViews>
  <sheetFormatPr defaultColWidth="9.140625" defaultRowHeight="15" x14ac:dyDescent="0.25"/>
  <cols>
    <col min="1" max="1" width="13.42578125" style="1" bestFit="1" customWidth="1"/>
    <col min="2" max="3" width="13.42578125" style="1" customWidth="1"/>
    <col min="4" max="4" width="20.42578125" style="1" bestFit="1" customWidth="1"/>
    <col min="5" max="5" width="19.7109375" style="1" bestFit="1" customWidth="1"/>
    <col min="6" max="7" width="17.5703125" style="1" bestFit="1" customWidth="1"/>
    <col min="8" max="8" width="18" style="1" customWidth="1"/>
    <col min="9" max="16384" width="9.140625" style="1"/>
  </cols>
  <sheetData>
    <row r="1" spans="1:8" ht="16.5" x14ac:dyDescent="0.25">
      <c r="A1" s="21" t="s">
        <v>84</v>
      </c>
      <c r="B1" s="21" t="s">
        <v>143</v>
      </c>
      <c r="C1" s="21" t="s">
        <v>142</v>
      </c>
      <c r="D1" s="21" t="s">
        <v>144</v>
      </c>
      <c r="E1" s="21" t="s">
        <v>145</v>
      </c>
      <c r="F1" s="21" t="s">
        <v>146</v>
      </c>
      <c r="G1" s="21" t="s">
        <v>147</v>
      </c>
      <c r="H1" s="21" t="s">
        <v>148</v>
      </c>
    </row>
    <row r="2" spans="1:8" x14ac:dyDescent="0.25">
      <c r="A2" s="80">
        <v>50000</v>
      </c>
      <c r="B2" s="80">
        <v>24</v>
      </c>
      <c r="C2" s="80">
        <v>14.91</v>
      </c>
      <c r="D2" s="80">
        <v>27.541599999999999</v>
      </c>
      <c r="E2" s="80">
        <v>448</v>
      </c>
      <c r="F2" s="80">
        <v>41.4527</v>
      </c>
      <c r="G2" s="80">
        <f>E2+F2</f>
        <v>489.45269999999999</v>
      </c>
      <c r="H2" s="80">
        <v>478.77</v>
      </c>
    </row>
    <row r="3" spans="1:8" x14ac:dyDescent="0.25">
      <c r="A3" s="21">
        <v>75000</v>
      </c>
      <c r="B3" s="21">
        <v>27</v>
      </c>
      <c r="C3" s="21">
        <v>16.88</v>
      </c>
      <c r="D3" s="21">
        <v>31.1629</v>
      </c>
      <c r="E3" s="21">
        <v>641</v>
      </c>
      <c r="F3" s="21">
        <v>48.118200000000002</v>
      </c>
      <c r="G3" s="21">
        <f t="shared" ref="G3:G13" si="0">E3+F3</f>
        <v>689.1182</v>
      </c>
      <c r="H3" s="21">
        <v>609.33000000000004</v>
      </c>
    </row>
    <row r="4" spans="1:8" x14ac:dyDescent="0.25">
      <c r="A4" s="80">
        <v>100000</v>
      </c>
      <c r="B4" s="80">
        <v>30</v>
      </c>
      <c r="C4" s="80">
        <v>18.77</v>
      </c>
      <c r="D4" s="80">
        <v>34.784199999999998</v>
      </c>
      <c r="E4" s="80">
        <v>883</v>
      </c>
      <c r="F4" s="80">
        <v>54.615299999999998</v>
      </c>
      <c r="G4" s="80">
        <f t="shared" si="0"/>
        <v>937.61530000000005</v>
      </c>
      <c r="H4" s="80">
        <v>755.11</v>
      </c>
    </row>
    <row r="5" spans="1:8" x14ac:dyDescent="0.25">
      <c r="A5" s="21">
        <v>125000</v>
      </c>
      <c r="B5" s="21">
        <v>32.33</v>
      </c>
      <c r="C5" s="21">
        <v>20.18</v>
      </c>
      <c r="D5" s="21">
        <v>37.1004</v>
      </c>
      <c r="E5" s="21">
        <v>1107</v>
      </c>
      <c r="F5" s="21">
        <v>65.685000000000002</v>
      </c>
      <c r="G5" s="21">
        <f t="shared" si="0"/>
        <v>1172.6849999999999</v>
      </c>
      <c r="H5" s="21">
        <v>874.96</v>
      </c>
    </row>
    <row r="6" spans="1:8" x14ac:dyDescent="0.25">
      <c r="A6" s="80">
        <v>150000</v>
      </c>
      <c r="B6" s="80">
        <v>34</v>
      </c>
      <c r="C6" s="80">
        <v>21.27</v>
      </c>
      <c r="D6" s="80">
        <v>39.1126</v>
      </c>
      <c r="E6" s="80">
        <v>1283</v>
      </c>
      <c r="F6" s="80">
        <v>81.238200000000006</v>
      </c>
      <c r="G6" s="80">
        <f t="shared" si="0"/>
        <v>1364.2382</v>
      </c>
      <c r="H6" s="80">
        <v>966.01</v>
      </c>
    </row>
    <row r="7" spans="1:8" x14ac:dyDescent="0.25">
      <c r="A7" s="21">
        <v>200000</v>
      </c>
      <c r="B7" s="21">
        <v>40.5</v>
      </c>
      <c r="C7" s="21">
        <v>22.56</v>
      </c>
      <c r="D7" s="21">
        <v>41.208799999999997</v>
      </c>
      <c r="E7" s="21">
        <v>1969</v>
      </c>
      <c r="F7" s="21">
        <v>90.795199999999994</v>
      </c>
      <c r="G7" s="21">
        <f t="shared" si="0"/>
        <v>2059.7952</v>
      </c>
      <c r="H7" s="21">
        <v>1163</v>
      </c>
    </row>
    <row r="8" spans="1:8" x14ac:dyDescent="0.25">
      <c r="A8" s="80">
        <v>250000</v>
      </c>
      <c r="B8" s="80">
        <v>43.67</v>
      </c>
      <c r="C8" s="80">
        <v>24.24</v>
      </c>
      <c r="D8" s="80">
        <v>43.945900000000002</v>
      </c>
      <c r="E8" s="80">
        <v>2122</v>
      </c>
      <c r="F8" s="80">
        <v>107.6857</v>
      </c>
      <c r="G8" s="80">
        <f t="shared" si="0"/>
        <v>2229.6857</v>
      </c>
      <c r="H8" s="80">
        <v>1347.18</v>
      </c>
    </row>
    <row r="9" spans="1:8" x14ac:dyDescent="0.25">
      <c r="A9" s="21">
        <v>300000</v>
      </c>
      <c r="B9" s="21">
        <v>46.5</v>
      </c>
      <c r="C9" s="21">
        <v>26.04</v>
      </c>
      <c r="D9" s="21">
        <v>46.951599999999999</v>
      </c>
      <c r="E9" s="21">
        <v>2603</v>
      </c>
      <c r="F9" s="21">
        <v>115.0325</v>
      </c>
      <c r="G9" s="21">
        <f t="shared" si="0"/>
        <v>2718.0324999999998</v>
      </c>
      <c r="H9" s="21">
        <v>1552.23</v>
      </c>
    </row>
    <row r="10" spans="1:8" x14ac:dyDescent="0.25">
      <c r="A10" s="80">
        <v>400000</v>
      </c>
      <c r="B10" s="80">
        <v>51.5</v>
      </c>
      <c r="C10" s="80">
        <v>28.83</v>
      </c>
      <c r="D10" s="80">
        <v>51.987099999999998</v>
      </c>
      <c r="E10" s="80">
        <v>3455</v>
      </c>
      <c r="F10" s="80">
        <v>154.71299999999999</v>
      </c>
      <c r="G10" s="80">
        <f t="shared" si="0"/>
        <v>3609.7130000000002</v>
      </c>
      <c r="H10" s="80">
        <v>1900.48</v>
      </c>
    </row>
    <row r="11" spans="1:8" x14ac:dyDescent="0.25">
      <c r="A11" s="21">
        <v>500000</v>
      </c>
      <c r="B11" s="21">
        <v>54</v>
      </c>
      <c r="C11" s="21">
        <v>30.96</v>
      </c>
      <c r="D11" s="21">
        <v>54.254800000000003</v>
      </c>
      <c r="E11" s="21">
        <v>4305</v>
      </c>
      <c r="F11" s="21">
        <v>174.2953</v>
      </c>
      <c r="G11" s="21">
        <f t="shared" si="0"/>
        <v>4479.2952999999998</v>
      </c>
      <c r="H11" s="21">
        <v>2111.58</v>
      </c>
    </row>
    <row r="12" spans="1:8" x14ac:dyDescent="0.25">
      <c r="A12" s="80">
        <v>600000</v>
      </c>
      <c r="B12" s="80">
        <v>62.5</v>
      </c>
      <c r="C12" s="80"/>
      <c r="D12" s="80">
        <v>57.265099999999997</v>
      </c>
      <c r="E12" s="80">
        <v>5474</v>
      </c>
      <c r="F12" s="80">
        <v>221.4761</v>
      </c>
      <c r="G12" s="80">
        <f t="shared" si="0"/>
        <v>5695.4760999999999</v>
      </c>
      <c r="H12" s="80"/>
    </row>
    <row r="13" spans="1:8" x14ac:dyDescent="0.25">
      <c r="A13" s="21">
        <v>750000</v>
      </c>
      <c r="B13" s="21">
        <v>83</v>
      </c>
      <c r="C13" s="21">
        <v>35.119999999999997</v>
      </c>
      <c r="D13" s="21">
        <v>62.118699999999997</v>
      </c>
      <c r="E13" s="21">
        <v>6798</v>
      </c>
      <c r="F13" s="21">
        <v>268.26209999999998</v>
      </c>
      <c r="G13" s="21">
        <f t="shared" si="0"/>
        <v>7066.2620999999999</v>
      </c>
      <c r="H13" s="21">
        <v>2828.77</v>
      </c>
    </row>
    <row r="14" spans="1:8" x14ac:dyDescent="0.25">
      <c r="A14" s="80">
        <v>1000000</v>
      </c>
      <c r="B14" s="80"/>
      <c r="C14" s="80"/>
      <c r="D14" s="80"/>
      <c r="E14" s="80"/>
      <c r="F14" s="80"/>
      <c r="G14" s="80"/>
      <c r="H14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Hooshyari, Behnam  - SDSU Student</cp:lastModifiedBy>
  <cp:lastPrinted>2024-11-22T08:02:25Z</cp:lastPrinted>
  <dcterms:created xsi:type="dcterms:W3CDTF">2024-07-03T18:36:11Z</dcterms:created>
  <dcterms:modified xsi:type="dcterms:W3CDTF">2025-08-21T22:53:25Z</dcterms:modified>
</cp:coreProperties>
</file>