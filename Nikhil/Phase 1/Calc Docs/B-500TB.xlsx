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khil.chaudhary\Desktop\"/>
    </mc:Choice>
  </mc:AlternateContent>
  <xr:revisionPtr revIDLastSave="0" documentId="13_ncr:1_{5AF33372-3CE9-445D-8C05-19FFAC9A20A2}" xr6:coauthVersionLast="47" xr6:coauthVersionMax="47" xr10:uidLastSave="{00000000-0000-0000-0000-000000000000}"/>
  <bookViews>
    <workbookView xWindow="28680" yWindow="-120" windowWidth="29040" windowHeight="15840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3" l="1"/>
  <c r="B74" i="13"/>
  <c r="N16" i="13"/>
  <c r="K66" i="13"/>
  <c r="B69" i="13" s="1"/>
  <c r="N14" i="13" s="1"/>
  <c r="B47" i="13"/>
  <c r="N28" i="13"/>
  <c r="X11" i="17"/>
  <c r="X10" i="17"/>
  <c r="X7" i="17"/>
  <c r="X6" i="17"/>
  <c r="M10" i="17"/>
  <c r="U12" i="17" l="1"/>
  <c r="U11" i="17"/>
  <c r="U10" i="17"/>
  <c r="U9" i="17"/>
  <c r="U7" i="17"/>
  <c r="H30" i="13"/>
  <c r="U5" i="17" s="1"/>
  <c r="E30" i="13"/>
  <c r="U6" i="17" s="1"/>
  <c r="B30" i="13"/>
  <c r="U4" i="17"/>
  <c r="B29" i="13"/>
  <c r="V12" i="17"/>
  <c r="V11" i="17"/>
  <c r="V10" i="17"/>
  <c r="V9" i="17"/>
  <c r="V7" i="17"/>
  <c r="V6" i="17"/>
  <c r="V5" i="17"/>
  <c r="V4" i="17"/>
  <c r="M5" i="17" l="1"/>
  <c r="M4" i="17"/>
  <c r="M6" i="17"/>
  <c r="M7" i="17"/>
  <c r="M9" i="17"/>
  <c r="H66" i="13"/>
  <c r="G9" i="17" l="1"/>
  <c r="G10" i="17" s="1"/>
  <c r="G11" i="17" s="1"/>
  <c r="G12" i="17" s="1"/>
  <c r="G5" i="17"/>
  <c r="G6" i="17" s="1"/>
  <c r="G7" i="17" s="1"/>
  <c r="H38" i="13"/>
  <c r="E38" i="13"/>
  <c r="B38" i="13"/>
  <c r="K20" i="13"/>
  <c r="H20" i="13"/>
  <c r="E20" i="13"/>
  <c r="B20" i="13"/>
  <c r="F3" i="9"/>
  <c r="F4" i="9" s="1"/>
  <c r="G7" i="16" l="1"/>
  <c r="G5" i="16"/>
  <c r="G2" i="16"/>
  <c r="B65" i="13"/>
  <c r="B63" i="13"/>
  <c r="B62" i="13"/>
  <c r="B61" i="13"/>
  <c r="B54" i="13" s="1"/>
  <c r="B60" i="13"/>
  <c r="V3" i="17" l="1"/>
  <c r="I7" i="17"/>
  <c r="I6" i="17"/>
  <c r="B4" i="9"/>
  <c r="B10" i="9"/>
  <c r="B7" i="9"/>
  <c r="P9" i="17"/>
  <c r="I3" i="17"/>
  <c r="G8" i="16"/>
  <c r="B64" i="13" s="1"/>
  <c r="U3" i="17" s="1"/>
  <c r="G4" i="16"/>
  <c r="B9" i="17"/>
  <c r="F9" i="17" s="1"/>
  <c r="K30" i="13"/>
  <c r="I4" i="17" s="1"/>
  <c r="I5" i="17"/>
  <c r="B12" i="13"/>
  <c r="N4" i="13"/>
  <c r="X12" i="17" l="1"/>
  <c r="X5" i="17"/>
  <c r="B11" i="9"/>
  <c r="N30" i="13"/>
  <c r="G6" i="16" l="1"/>
  <c r="K48" i="13" l="1"/>
  <c r="I9" i="17" s="1"/>
  <c r="L9" i="17" s="1"/>
  <c r="H48" i="13"/>
  <c r="I10" i="17" s="1"/>
  <c r="E48" i="13"/>
  <c r="I11" i="17" s="1"/>
  <c r="B48" i="13"/>
  <c r="I12" i="17" s="1"/>
  <c r="K39" i="13"/>
  <c r="K47" i="13" s="1"/>
  <c r="B39" i="13"/>
  <c r="K38" i="13"/>
  <c r="K36" i="13"/>
  <c r="B36" i="13"/>
  <c r="E34" i="13" s="1"/>
  <c r="N48" i="13" l="1"/>
  <c r="E36" i="13"/>
  <c r="E39" i="13"/>
  <c r="E47" i="13" s="1"/>
  <c r="H34" i="13" l="1"/>
  <c r="H39" i="13" l="1"/>
  <c r="H47" i="13" s="1"/>
  <c r="H36" i="13"/>
  <c r="B8" i="13" l="1"/>
  <c r="O9" i="17"/>
  <c r="C9" i="17"/>
  <c r="B18" i="17"/>
  <c r="A21" i="17" a="1"/>
  <c r="A21" i="17" s="1"/>
  <c r="A32" i="17" s="1" a="1"/>
  <c r="A32" i="17" s="1"/>
  <c r="O12" i="17"/>
  <c r="O7" i="17"/>
  <c r="B12" i="17"/>
  <c r="B7" i="17"/>
  <c r="B6" i="17"/>
  <c r="B5" i="17"/>
  <c r="B4" i="17"/>
  <c r="C5" i="17"/>
  <c r="D5" i="17" l="1"/>
  <c r="F4" i="17"/>
  <c r="J9" i="17"/>
  <c r="H9" i="17"/>
  <c r="B68" i="13"/>
  <c r="E5" i="17"/>
  <c r="F5" i="17" s="1"/>
  <c r="G3" i="16"/>
  <c r="G3" i="17" l="1"/>
  <c r="C11" i="17"/>
  <c r="N5" i="13"/>
  <c r="N10" i="13" s="1"/>
  <c r="N11" i="13" s="1"/>
  <c r="N13" i="13" s="1"/>
  <c r="C7" i="17"/>
  <c r="B7" i="13"/>
  <c r="B22" i="13" s="1"/>
  <c r="B24" i="13" s="1"/>
  <c r="N15" i="13" l="1"/>
  <c r="Q8" i="9"/>
  <c r="Q7" i="9"/>
  <c r="Q6" i="9"/>
  <c r="Q5" i="9"/>
  <c r="Q4" i="9"/>
  <c r="Q3" i="9"/>
  <c r="Q2" i="9"/>
  <c r="K22" i="13"/>
  <c r="K24" i="13" s="1"/>
  <c r="K40" i="13"/>
  <c r="K42" i="13" s="1"/>
  <c r="B40" i="13"/>
  <c r="B42" i="13" s="1"/>
  <c r="K41" i="13"/>
  <c r="K43" i="13" s="1"/>
  <c r="B41" i="13"/>
  <c r="B43" i="13" s="1"/>
  <c r="E40" i="13"/>
  <c r="E42" i="13" s="1"/>
  <c r="E41" i="13"/>
  <c r="E43" i="13" s="1"/>
  <c r="H40" i="13"/>
  <c r="H42" i="13" s="1"/>
  <c r="H41" i="13"/>
  <c r="H43" i="13" s="1"/>
  <c r="B55" i="13"/>
  <c r="B57" i="13" s="1"/>
  <c r="B56" i="13"/>
  <c r="B58" i="13" s="1"/>
  <c r="B59" i="13" s="1"/>
  <c r="M3" i="17" s="1"/>
  <c r="O11" i="17"/>
  <c r="C12" i="17"/>
  <c r="E12" i="17" s="1"/>
  <c r="F12" i="17" s="1"/>
  <c r="C10" i="17"/>
  <c r="J3" i="17" a="1"/>
  <c r="L4" i="17" s="1"/>
  <c r="E7" i="17"/>
  <c r="F7" i="17" s="1"/>
  <c r="D7" i="17"/>
  <c r="C4" i="17"/>
  <c r="C6" i="17"/>
  <c r="B18" i="13"/>
  <c r="E16" i="13" s="1"/>
  <c r="B21" i="13"/>
  <c r="O10" i="17"/>
  <c r="T4" i="17" l="1"/>
  <c r="T9" i="17"/>
  <c r="T3" i="17"/>
  <c r="T6" i="17"/>
  <c r="T12" i="17"/>
  <c r="T5" i="17"/>
  <c r="T7" i="17"/>
  <c r="T10" i="17"/>
  <c r="T11" i="17"/>
  <c r="J4" i="17"/>
  <c r="H4" i="17"/>
  <c r="K4" i="17" s="1"/>
  <c r="D4" i="17"/>
  <c r="I15" i="9"/>
  <c r="A15" i="9"/>
  <c r="E15" i="9"/>
  <c r="H44" i="13"/>
  <c r="E44" i="13"/>
  <c r="M11" i="17" s="1"/>
  <c r="B44" i="13"/>
  <c r="M12" i="17" s="1"/>
  <c r="K44" i="13"/>
  <c r="D12" i="17"/>
  <c r="J3" i="17"/>
  <c r="L5" i="17"/>
  <c r="E6" i="17"/>
  <c r="F6" i="17" s="1"/>
  <c r="D6" i="17"/>
  <c r="C22" i="17" a="1"/>
  <c r="C22" i="17" s="1"/>
  <c r="E4" i="17"/>
  <c r="B11" i="17"/>
  <c r="E21" i="13"/>
  <c r="E29" i="13" s="1"/>
  <c r="O6" i="17"/>
  <c r="B23" i="13"/>
  <c r="B25" i="13" s="1"/>
  <c r="B26" i="13" s="1"/>
  <c r="E18" i="13"/>
  <c r="E22" i="13"/>
  <c r="E24" i="13" s="1"/>
  <c r="H6" i="17" l="1"/>
  <c r="H5" i="17"/>
  <c r="H7" i="17"/>
  <c r="H12" i="17"/>
  <c r="K5" i="17"/>
  <c r="J5" i="17"/>
  <c r="B35" i="17" s="1"/>
  <c r="B66" i="13"/>
  <c r="K6" i="17"/>
  <c r="B27" i="13"/>
  <c r="B28" i="13" s="1"/>
  <c r="B34" i="17"/>
  <c r="L6" i="17"/>
  <c r="L7" i="17" s="1"/>
  <c r="E11" i="17"/>
  <c r="F11" i="17" s="1"/>
  <c r="D11" i="17"/>
  <c r="H11" i="17" s="1"/>
  <c r="H16" i="13"/>
  <c r="E23" i="13"/>
  <c r="E25" i="13" s="1"/>
  <c r="E26" i="13" s="1"/>
  <c r="K7" i="17" l="1"/>
  <c r="K9" i="17" s="1"/>
  <c r="J6" i="17"/>
  <c r="J7" i="17" s="1"/>
  <c r="B37" i="17" s="1"/>
  <c r="P7" i="17"/>
  <c r="Q7" i="17" s="1"/>
  <c r="O5" i="17"/>
  <c r="B10" i="17"/>
  <c r="E27" i="13"/>
  <c r="P6" i="17" s="1"/>
  <c r="Q6" i="17" s="1"/>
  <c r="H22" i="13"/>
  <c r="H24" i="13" s="1"/>
  <c r="H18" i="13"/>
  <c r="H21" i="13"/>
  <c r="H29" i="13" s="1"/>
  <c r="R7" i="17" l="1"/>
  <c r="H45" i="13"/>
  <c r="P10" i="17" s="1"/>
  <c r="Q10" i="17" s="1"/>
  <c r="E45" i="13"/>
  <c r="P11" i="17" s="1"/>
  <c r="Q11" i="17" s="1"/>
  <c r="B45" i="13"/>
  <c r="B36" i="17"/>
  <c r="Q9" i="17"/>
  <c r="C39" i="17"/>
  <c r="R6" i="17"/>
  <c r="D10" i="17"/>
  <c r="E10" i="17"/>
  <c r="F10" i="17" s="1"/>
  <c r="O4" i="17"/>
  <c r="H23" i="13"/>
  <c r="E28" i="13"/>
  <c r="H10" i="17" l="1"/>
  <c r="K10" i="17" s="1"/>
  <c r="K11" i="17" s="1"/>
  <c r="K12" i="17" s="1"/>
  <c r="J10" i="17"/>
  <c r="H25" i="13"/>
  <c r="H26" i="13" s="1"/>
  <c r="B46" i="13"/>
  <c r="P12" i="17"/>
  <c r="Q12" i="17" s="1"/>
  <c r="N44" i="13"/>
  <c r="H46" i="13"/>
  <c r="E46" i="13"/>
  <c r="R10" i="17"/>
  <c r="D9" i="17"/>
  <c r="E9" i="17"/>
  <c r="K21" i="13"/>
  <c r="K29" i="13" s="1"/>
  <c r="K18" i="13"/>
  <c r="B39" i="17" l="1"/>
  <c r="D39" i="17" s="1"/>
  <c r="E18" i="9" a="1"/>
  <c r="E18" i="9" s="1"/>
  <c r="A18" i="9" a="1"/>
  <c r="A18" i="9" s="1"/>
  <c r="I18" i="9" a="1"/>
  <c r="I18" i="9" s="1"/>
  <c r="H27" i="13"/>
  <c r="P5" i="17" s="1"/>
  <c r="Q5" i="17" s="1"/>
  <c r="R5" i="17" s="1"/>
  <c r="N46" i="13"/>
  <c r="R11" i="17"/>
  <c r="R12" i="17"/>
  <c r="J11" i="17"/>
  <c r="R9" i="17"/>
  <c r="S9" i="17" s="1"/>
  <c r="C38" i="17"/>
  <c r="O3" i="17"/>
  <c r="W3" i="17" s="1" a="1"/>
  <c r="H28" i="13"/>
  <c r="K23" i="13"/>
  <c r="K25" i="13" s="1"/>
  <c r="P4" i="17" s="1"/>
  <c r="Q4" i="17" s="1"/>
  <c r="W3" i="17" l="1"/>
  <c r="K26" i="13"/>
  <c r="J12" i="17"/>
  <c r="B22" i="17" a="1"/>
  <c r="J27" i="17" l="1"/>
  <c r="D23" i="17"/>
  <c r="N26" i="13"/>
  <c r="B73" i="13" s="1"/>
  <c r="H27" i="17"/>
  <c r="D24" i="17"/>
  <c r="H24" i="17" s="1"/>
  <c r="I27" i="17"/>
  <c r="K27" i="17"/>
  <c r="G27" i="17"/>
  <c r="H23" i="17"/>
  <c r="D25" i="17"/>
  <c r="I25" i="17" s="1"/>
  <c r="K25" i="17" s="1"/>
  <c r="D27" i="17"/>
  <c r="M27" i="17"/>
  <c r="D28" i="17"/>
  <c r="I28" i="17" s="1"/>
  <c r="K28" i="17" s="1"/>
  <c r="L27" i="17"/>
  <c r="D29" i="17"/>
  <c r="H29" i="17" s="1"/>
  <c r="D30" i="17"/>
  <c r="H30" i="17" s="1"/>
  <c r="I30" i="17" s="1"/>
  <c r="K30" i="17" s="1"/>
  <c r="E22" i="17" a="1"/>
  <c r="E22" i="17" s="1"/>
  <c r="B38" i="17"/>
  <c r="D38" i="17" s="1"/>
  <c r="B22" i="17"/>
  <c r="J22" i="17" s="1"/>
  <c r="F22" i="17" a="1"/>
  <c r="S4" i="17" l="1"/>
  <c r="I29" i="17"/>
  <c r="K29" i="17" s="1"/>
  <c r="I23" i="17"/>
  <c r="K23" i="17" s="1"/>
  <c r="G30" i="17"/>
  <c r="I24" i="17"/>
  <c r="K24" i="17" s="1"/>
  <c r="H28" i="17"/>
  <c r="H25" i="17"/>
  <c r="G25" i="17"/>
  <c r="G23" i="17"/>
  <c r="J23" i="17" s="1"/>
  <c r="D22" i="17"/>
  <c r="I22" i="17" s="1"/>
  <c r="K22" i="17" s="1"/>
  <c r="G29" i="17"/>
  <c r="J29" i="17" s="1"/>
  <c r="G28" i="17"/>
  <c r="G24" i="17"/>
  <c r="J24" i="17" s="1"/>
  <c r="F22" i="17"/>
  <c r="G22" i="17" s="1"/>
  <c r="L22" i="17" s="1"/>
  <c r="M22" i="17" s="1"/>
  <c r="C34" i="17"/>
  <c r="N3" i="17"/>
  <c r="N4" i="17" l="1"/>
  <c r="N9" i="17"/>
  <c r="N10" i="17" s="1"/>
  <c r="N11" i="17" s="1"/>
  <c r="N12" i="17" s="1"/>
  <c r="J25" i="17"/>
  <c r="L25" i="17" s="1"/>
  <c r="M25" i="17" s="1"/>
  <c r="J28" i="17"/>
  <c r="L28" i="17" s="1"/>
  <c r="M28" i="17" s="1"/>
  <c r="J30" i="17"/>
  <c r="L30" i="17" s="1"/>
  <c r="M30" i="17" s="1"/>
  <c r="L29" i="17"/>
  <c r="M29" i="17" s="1"/>
  <c r="L23" i="17"/>
  <c r="M23" i="17" s="1"/>
  <c r="L24" i="17"/>
  <c r="M24" i="17" s="1"/>
  <c r="H22" i="17"/>
  <c r="L10" i="17"/>
  <c r="N21" i="17" a="1"/>
  <c r="N21" i="17" s="1"/>
  <c r="L11" i="17" l="1"/>
  <c r="B41" i="17" s="1"/>
  <c r="B40" i="17"/>
  <c r="D34" i="17"/>
  <c r="L12" i="17" l="1"/>
  <c r="B42" i="17" s="1"/>
  <c r="N5" i="17" l="1"/>
  <c r="N6" i="17" s="1"/>
  <c r="N7" i="17" s="1"/>
  <c r="R4" i="17"/>
  <c r="P3" i="17" l="1"/>
  <c r="S6" i="17" l="1"/>
  <c r="C36" i="17" s="1"/>
  <c r="D36" i="17" s="1"/>
  <c r="S7" i="17"/>
  <c r="S10" i="17"/>
  <c r="C40" i="17" s="1"/>
  <c r="D40" i="17" s="1"/>
  <c r="S12" i="17"/>
  <c r="C42" i="17" s="1"/>
  <c r="D42" i="17" s="1"/>
  <c r="S5" i="17"/>
  <c r="C35" i="17" s="1"/>
  <c r="D35" i="17" s="1"/>
  <c r="S11" i="17"/>
  <c r="C41" i="17" s="1"/>
  <c r="D41" i="17" s="1"/>
  <c r="C37" i="17"/>
  <c r="D37" i="17" s="1"/>
  <c r="S6" i="9"/>
  <c r="K18" i="9" s="1" a="1"/>
  <c r="K18" i="9" s="1"/>
  <c r="L18" i="9" s="1" a="1"/>
  <c r="L18" i="9" s="1"/>
  <c r="S8" i="9"/>
  <c r="B18" i="9" s="1" a="1"/>
  <c r="B18" i="9" s="1"/>
  <c r="C18" i="9" s="1" a="1"/>
  <c r="C18" i="9" s="1"/>
  <c r="S7" i="9"/>
  <c r="F18" i="9" s="1" a="1"/>
  <c r="F18" i="9" s="1"/>
  <c r="G18" i="9" s="1" a="1"/>
  <c r="G18" i="9" s="1"/>
  <c r="Q3" i="17"/>
  <c r="R3" i="17" l="1"/>
  <c r="S3" i="17" s="1"/>
  <c r="A16" i="9"/>
  <c r="E16" i="9"/>
  <c r="I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<sst xmlns="http://schemas.openxmlformats.org/spreadsheetml/2006/main" count="505" uniqueCount="190">
  <si>
    <t>kips</t>
  </si>
  <si>
    <t>in</t>
  </si>
  <si>
    <t>ft</t>
  </si>
  <si>
    <t>Thickness</t>
  </si>
  <si>
    <t>Weight</t>
  </si>
  <si>
    <t>V</t>
  </si>
  <si>
    <t>Ri</t>
  </si>
  <si>
    <t>Ti</t>
  </si>
  <si>
    <t>Ts</t>
  </si>
  <si>
    <t>seismic base shear</t>
  </si>
  <si>
    <t>g</t>
  </si>
  <si>
    <t>sec</t>
  </si>
  <si>
    <t>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</si>
  <si>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</si>
  <si>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</si>
  <si>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</si>
  <si>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</si>
  <si>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</si>
  <si>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</si>
  <si>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</si>
  <si>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</si>
  <si>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Diameter of the cylinder</t>
  </si>
  <si>
    <t>Height of the cylinder</t>
  </si>
  <si>
    <t>weight of water</t>
  </si>
  <si>
    <t>COM</t>
  </si>
  <si>
    <t>exposure</t>
  </si>
  <si>
    <t>F location</t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</si>
  <si>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</si>
  <si>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</si>
  <si>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</si>
  <si>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</si>
  <si>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</si>
  <si>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</si>
  <si>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</si>
  <si>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</si>
  <si>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</si>
  <si>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</si>
  <si>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</si>
  <si>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</si>
  <si>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</si>
  <si>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</si>
  <si>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</si>
  <si>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</si>
  <si>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</si>
  <si>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</si>
  <si>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</si>
  <si>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</si>
  <si>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</si>
  <si>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</si>
  <si>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</si>
  <si>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</si>
  <si>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</si>
  <si>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</si>
  <si>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</si>
  <si>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</si>
  <si>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</si>
  <si>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</si>
  <si>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</si>
  <si>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</si>
  <si>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Diameter(in)</t>
  </si>
  <si>
    <t>Thickness(in)</t>
  </si>
  <si>
    <t>Tank</t>
  </si>
  <si>
    <t>-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</si>
  <si>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</si>
  <si>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</si>
  <si>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</si>
  <si>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</si>
  <si>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</si>
  <si>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</si>
  <si>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</si>
  <si>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</si>
  <si>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</si>
  <si>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>l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</si>
  <si>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</si>
  <si>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</si>
  <si>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</si>
  <si>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</si>
  <si>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</si>
  <si>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</si>
  <si>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</si>
  <si>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</si>
  <si>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F x Arm</t>
  </si>
  <si>
    <t>Fy</t>
  </si>
  <si>
    <t>Totals  reactions</t>
  </si>
  <si>
    <t>Seismic base moment</t>
  </si>
  <si>
    <t>λ</t>
  </si>
  <si>
    <t>α</t>
  </si>
  <si>
    <t>Height of the riser</t>
  </si>
  <si>
    <t>Diameter of the riser</t>
  </si>
  <si>
    <t>upper cone</t>
  </si>
  <si>
    <t>SUM</t>
  </si>
  <si>
    <t>KIPS</t>
  </si>
  <si>
    <t xml:space="preserve">Bay Number </t>
  </si>
  <si>
    <t>Number of Columns</t>
  </si>
  <si>
    <t>Centroied</t>
  </si>
  <si>
    <t>tank height</t>
  </si>
  <si>
    <t>Weight of water</t>
  </si>
  <si>
    <t>Weight of steel</t>
  </si>
  <si>
    <t>projected area</t>
  </si>
  <si>
    <t xml:space="preserve">column </t>
  </si>
  <si>
    <t>column</t>
  </si>
  <si>
    <t xml:space="preserve">riser  </t>
  </si>
  <si>
    <t xml:space="preserve">riser </t>
  </si>
  <si>
    <t>C1</t>
  </si>
  <si>
    <t>C2</t>
  </si>
  <si>
    <t>C3</t>
  </si>
  <si>
    <t>C4</t>
  </si>
  <si>
    <t>R1</t>
  </si>
  <si>
    <t>R2</t>
  </si>
  <si>
    <t>R3</t>
  </si>
  <si>
    <t>R4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</si>
  <si>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</si>
  <si>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</si>
  <si>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t>50K-DE</t>
  </si>
  <si>
    <t>100K-DE</t>
  </si>
  <si>
    <t>200K-DE</t>
  </si>
  <si>
    <t>250K-TORO</t>
  </si>
  <si>
    <t>300K-TORO</t>
  </si>
  <si>
    <t>400K-TORO</t>
  </si>
  <si>
    <t>500K-TORO</t>
  </si>
  <si>
    <t>Diameter of tank</t>
  </si>
  <si>
    <t>Area to consider</t>
  </si>
  <si>
    <t>Psf</t>
  </si>
  <si>
    <t>Exposure Factor</t>
  </si>
  <si>
    <t>RC IV</t>
  </si>
  <si>
    <t>Importance Factor</t>
  </si>
  <si>
    <t>Ground snow load</t>
  </si>
  <si>
    <t>Height to consider</t>
  </si>
  <si>
    <t xml:space="preserve">weight of bowl </t>
  </si>
  <si>
    <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</si>
  <si>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</si>
  <si>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</si>
  <si>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</si>
  <si>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</si>
  <si>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</si>
  <si>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</si>
  <si>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</si>
  <si>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</si>
  <si>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</si>
  <si>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</si>
  <si>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</si>
  <si>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r>
      <t>I</t>
    </r>
    <r>
      <rPr>
        <vertAlign val="subscript"/>
        <sz val="14"/>
        <color theme="1"/>
        <rFont val="Aptos Narrow"/>
        <family val="2"/>
        <scheme val="minor"/>
      </rPr>
      <t>E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</si>
  <si>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</si>
  <si>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</si>
  <si>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</si>
  <si>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</si>
  <si>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λ(0.00256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</si>
  <si>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</si>
  <si>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</si>
  <si>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</si>
  <si>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</si>
  <si>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</si>
  <si>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</si>
  <si>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A</t>
    </r>
    <r>
      <rPr>
        <vertAlign val="subscript"/>
        <sz val="11"/>
        <rFont val="Aptos Narrow"/>
        <family val="2"/>
        <scheme val="minor"/>
      </rPr>
      <t>wind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</si>
  <si>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</si>
  <si>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k</t>
    </r>
    <r>
      <rPr>
        <vertAlign val="subscript"/>
        <sz val="11"/>
        <color rgb="FFFF0000"/>
        <rFont val="Aptos Narrow"/>
        <family val="2"/>
        <scheme val="minor"/>
      </rPr>
      <t>zi</t>
    </r>
  </si>
  <si>
    <r>
      <t>k</t>
    </r>
    <r>
      <rPr>
        <vertAlign val="subscript"/>
        <sz val="11"/>
        <color rgb="FFFF0000"/>
        <rFont val="Aptos Narrow"/>
        <family val="2"/>
        <scheme val="minor"/>
      </rPr>
      <t>zf</t>
    </r>
  </si>
  <si>
    <r>
      <t>q</t>
    </r>
    <r>
      <rPr>
        <vertAlign val="subscript"/>
        <sz val="11"/>
        <color rgb="FFFF0000"/>
        <rFont val="Aptos Narrow"/>
        <family val="2"/>
        <scheme val="minor"/>
      </rPr>
      <t>zi</t>
    </r>
  </si>
  <si>
    <r>
      <t>q</t>
    </r>
    <r>
      <rPr>
        <vertAlign val="subscript"/>
        <sz val="11"/>
        <color rgb="FFFF0000"/>
        <rFont val="Aptos Narrow"/>
        <family val="2"/>
        <scheme val="minor"/>
      </rPr>
      <t>zf</t>
    </r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</si>
  <si>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</si>
  <si>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Roof Live Load</t>
  </si>
  <si>
    <t>Live Load</t>
  </si>
  <si>
    <t>Load Combination</t>
  </si>
  <si>
    <t>P</t>
  </si>
  <si>
    <t>M</t>
  </si>
  <si>
    <t>Min Roof Live Load</t>
  </si>
  <si>
    <t>D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</si>
  <si>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</si>
  <si>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D + L</t>
  </si>
  <si>
    <t>D + (Lr or S)</t>
  </si>
  <si>
    <t>D + 0.75L + 0.75(Lr or S)</t>
  </si>
  <si>
    <t>D + 0.6(W or E)</t>
  </si>
  <si>
    <t>D + 0.75L + 0.75(0.6W or 0.6E) + 0.75(Lr or S)</t>
  </si>
  <si>
    <t>0.6D + 0.6(W or E)</t>
  </si>
  <si>
    <t>ft-kips</t>
  </si>
  <si>
    <t>fa</t>
  </si>
  <si>
    <t>fb</t>
  </si>
  <si>
    <t>other parts'  weight on riser</t>
  </si>
  <si>
    <t>other parts'  weight on columns</t>
  </si>
  <si>
    <t>struts</t>
  </si>
  <si>
    <t>cross bracing</t>
  </si>
  <si>
    <t>Seismic Load (per segment)</t>
  </si>
  <si>
    <t>Gravity Loads(per segemnet)</t>
  </si>
  <si>
    <t>Gravity Loads(cumulative)</t>
  </si>
  <si>
    <t>Base Elevation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</si>
  <si>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</si>
  <si>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t xml:space="preserve"> Load Location</t>
  </si>
  <si>
    <t>Arm Length</t>
  </si>
  <si>
    <r>
      <t>A</t>
    </r>
    <r>
      <rPr>
        <vertAlign val="subscript"/>
        <sz val="11"/>
        <color rgb="FF000000"/>
        <rFont val="Aptos Narrow"/>
        <family val="2"/>
      </rPr>
      <t>i</t>
    </r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</si>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</sst>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vertAlign val="subscript"/>
      <sz val="11"/>
      <color rgb="FF000000"/>
      <name val="Aptos Narrow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5" fillId="0" borderId="12" applyNumberFormat="0" applyFill="0" applyAlignment="0" applyProtection="0"/>
    <xf numFmtId="0" fontId="1" fillId="0" borderId="13" applyNumberFormat="0" applyFill="0" applyAlignment="0" applyProtection="0"/>
  </cellStyleXfs>
  <cellXfs count="25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2" fontId="6" fillId="2" borderId="5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165" fontId="14" fillId="2" borderId="0" xfId="0" applyNumberFormat="1" applyFont="1" applyFill="1" applyAlignment="1">
      <alignment horizontal="center"/>
    </xf>
    <xf numFmtId="0" fontId="14" fillId="4" borderId="34" xfId="0" applyFont="1" applyFill="1" applyBorder="1" applyAlignment="1">
      <alignment horizontal="center"/>
    </xf>
    <xf numFmtId="2" fontId="14" fillId="4" borderId="39" xfId="0" applyNumberFormat="1" applyFont="1" applyFill="1" applyBorder="1" applyAlignment="1">
      <alignment horizontal="center"/>
    </xf>
    <xf numFmtId="2" fontId="14" fillId="4" borderId="36" xfId="0" applyNumberFormat="1" applyFont="1" applyFill="1" applyBorder="1" applyAlignment="1">
      <alignment horizontal="center"/>
    </xf>
    <xf numFmtId="2" fontId="14" fillId="4" borderId="35" xfId="0" applyNumberFormat="1" applyFont="1" applyFill="1" applyBorder="1" applyAlignment="1">
      <alignment horizontal="center"/>
    </xf>
    <xf numFmtId="2" fontId="14" fillId="4" borderId="34" xfId="0" applyNumberFormat="1" applyFont="1" applyFill="1" applyBorder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2" fontId="0" fillId="2" borderId="0" xfId="0" quotePrefix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vertical="top"/>
    </xf>
    <xf numFmtId="165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16" fillId="2" borderId="10" xfId="0" applyFont="1" applyFill="1" applyBorder="1" applyAlignment="1">
      <alignment horizontal="center"/>
    </xf>
    <xf numFmtId="164" fontId="16" fillId="2" borderId="40" xfId="0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164" fontId="16" fillId="2" borderId="41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65" fontId="16" fillId="2" borderId="4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3" borderId="4" xfId="2" applyFill="1" applyBorder="1" applyAlignment="1">
      <alignment horizontal="center"/>
    </xf>
    <xf numFmtId="1" fontId="5" fillId="3" borderId="37" xfId="2" applyNumberFormat="1" applyFill="1" applyBorder="1" applyAlignment="1">
      <alignment horizontal="center"/>
    </xf>
    <xf numFmtId="0" fontId="5" fillId="3" borderId="5" xfId="2" applyFill="1" applyBorder="1" applyAlignment="1">
      <alignment horizontal="center"/>
    </xf>
    <xf numFmtId="0" fontId="5" fillId="2" borderId="0" xfId="2" applyFill="1" applyBorder="1" applyAlignment="1">
      <alignment horizontal="center"/>
    </xf>
    <xf numFmtId="1" fontId="5" fillId="2" borderId="37" xfId="2" applyNumberFormat="1" applyFill="1" applyBorder="1" applyAlignment="1">
      <alignment horizontal="center"/>
    </xf>
    <xf numFmtId="0" fontId="5" fillId="2" borderId="4" xfId="2" applyFill="1" applyBorder="1" applyAlignment="1">
      <alignment horizontal="center"/>
    </xf>
    <xf numFmtId="0" fontId="5" fillId="2" borderId="5" xfId="2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5" fontId="6" fillId="3" borderId="21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5" fontId="6" fillId="2" borderId="21" xfId="0" applyNumberFormat="1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5" fontId="0" fillId="2" borderId="22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2" borderId="21" xfId="0" applyNumberFormat="1" applyFill="1" applyBorder="1" applyAlignment="1">
      <alignment horizontal="center"/>
    </xf>
    <xf numFmtId="0" fontId="6" fillId="2" borderId="47" xfId="0" applyFont="1" applyFill="1" applyBorder="1" applyAlignment="1">
      <alignment horizontal="center"/>
    </xf>
    <xf numFmtId="165" fontId="6" fillId="2" borderId="48" xfId="0" applyNumberFormat="1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165" fontId="20" fillId="2" borderId="23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47" xfId="0" applyFont="1" applyFill="1" applyBorder="1" applyAlignment="1">
      <alignment horizontal="center"/>
    </xf>
    <xf numFmtId="0" fontId="20" fillId="2" borderId="38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0" fontId="6" fillId="3" borderId="51" xfId="0" applyFont="1" applyFill="1" applyBorder="1" applyAlignment="1">
      <alignment horizontal="center"/>
    </xf>
    <xf numFmtId="0" fontId="6" fillId="2" borderId="49" xfId="0" applyFont="1" applyFill="1" applyBorder="1" applyAlignment="1">
      <alignment horizontal="center"/>
    </xf>
    <xf numFmtId="165" fontId="6" fillId="2" borderId="50" xfId="0" applyNumberFormat="1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165" fontId="14" fillId="2" borderId="21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24" xfId="0" applyFont="1" applyFill="1" applyBorder="1" applyAlignment="1">
      <alignment horizontal="center"/>
    </xf>
    <xf numFmtId="1" fontId="6" fillId="2" borderId="9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165" fontId="20" fillId="2" borderId="0" xfId="0" applyNumberFormat="1" applyFont="1" applyFill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4" borderId="32" xfId="0" applyFill="1" applyBorder="1" applyAlignment="1">
      <alignment horizontal="center"/>
    </xf>
    <xf numFmtId="2" fontId="0" fillId="4" borderId="38" xfId="0" applyNumberFormat="1" applyFill="1" applyBorder="1" applyAlignment="1">
      <alignment horizontal="center"/>
    </xf>
    <xf numFmtId="2" fontId="0" fillId="4" borderId="33" xfId="0" applyNumberFormat="1" applyFill="1" applyBorder="1" applyAlignment="1">
      <alignment horizontal="center"/>
    </xf>
    <xf numFmtId="2" fontId="0" fillId="4" borderId="28" xfId="0" applyNumberFormat="1" applyFill="1" applyBorder="1" applyAlignment="1">
      <alignment horizontal="center"/>
    </xf>
    <xf numFmtId="0" fontId="0" fillId="0" borderId="32" xfId="0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14" fillId="4" borderId="36" xfId="0" applyNumberFormat="1" applyFont="1" applyFill="1" applyBorder="1" applyAlignment="1">
      <alignment horizontal="center"/>
    </xf>
    <xf numFmtId="165" fontId="0" fillId="4" borderId="28" xfId="0" applyNumberFormat="1" applyFill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14" fillId="4" borderId="39" xfId="0" applyNumberFormat="1" applyFont="1" applyFill="1" applyBorder="1" applyAlignment="1">
      <alignment horizontal="center"/>
    </xf>
    <xf numFmtId="165" fontId="0" fillId="4" borderId="33" xfId="0" applyNumberForma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0" fillId="2" borderId="41" xfId="0" applyFill="1" applyBorder="1"/>
    <xf numFmtId="0" fontId="1" fillId="2" borderId="2" xfId="0" applyFont="1" applyFill="1" applyBorder="1"/>
    <xf numFmtId="0" fontId="0" fillId="2" borderId="4" xfId="0" applyFill="1" applyBorder="1"/>
    <xf numFmtId="2" fontId="24" fillId="2" borderId="0" xfId="0" applyNumberFormat="1" applyFont="1" applyFill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0" fillId="2" borderId="9" xfId="0" applyFill="1" applyBorder="1"/>
    <xf numFmtId="2" fontId="9" fillId="2" borderId="7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6" borderId="0" xfId="0" applyNumberFormat="1" applyFill="1" applyAlignment="1">
      <alignment horizontal="center"/>
    </xf>
    <xf numFmtId="2" fontId="16" fillId="2" borderId="42" xfId="0" applyNumberFormat="1" applyFon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166" fontId="6" fillId="2" borderId="0" xfId="0" applyNumberFormat="1" applyFont="1" applyFill="1" applyAlignment="1">
      <alignment horizontal="center"/>
    </xf>
    <xf numFmtId="2" fontId="20" fillId="2" borderId="9" xfId="0" applyNumberFormat="1" applyFont="1" applyFill="1" applyBorder="1" applyAlignment="1">
      <alignment horizontal="center"/>
    </xf>
    <xf numFmtId="2" fontId="20" fillId="2" borderId="7" xfId="0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24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4" fillId="2" borderId="9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2" fontId="14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2" fontId="14" fillId="0" borderId="7" xfId="0" applyNumberFormat="1" applyFont="1" applyBorder="1" applyAlignment="1">
      <alignment horizontal="center"/>
    </xf>
    <xf numFmtId="2" fontId="0" fillId="2" borderId="41" xfId="0" applyNumberFormat="1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2" fontId="6" fillId="2" borderId="48" xfId="0" applyNumberFormat="1" applyFont="1" applyFill="1" applyBorder="1" applyAlignment="1">
      <alignment horizontal="center"/>
    </xf>
    <xf numFmtId="2" fontId="20" fillId="2" borderId="48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20" fillId="3" borderId="23" xfId="0" applyNumberFormat="1" applyFont="1" applyFill="1" applyBorder="1" applyAlignment="1">
      <alignment horizontal="center"/>
    </xf>
    <xf numFmtId="2" fontId="6" fillId="2" borderId="21" xfId="0" applyNumberFormat="1" applyFon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20" fillId="2" borderId="23" xfId="0" applyNumberFormat="1" applyFont="1" applyFill="1" applyBorder="1" applyAlignment="1">
      <alignment horizontal="center"/>
    </xf>
    <xf numFmtId="2" fontId="6" fillId="3" borderId="50" xfId="0" applyNumberFormat="1" applyFont="1" applyFill="1" applyBorder="1" applyAlignment="1">
      <alignment horizontal="center"/>
    </xf>
    <xf numFmtId="2" fontId="14" fillId="3" borderId="21" xfId="0" applyNumberFormat="1" applyFont="1" applyFill="1" applyBorder="1" applyAlignment="1">
      <alignment horizontal="center"/>
    </xf>
    <xf numFmtId="2" fontId="6" fillId="2" borderId="50" xfId="0" applyNumberFormat="1" applyFont="1" applyFill="1" applyBorder="1" applyAlignment="1">
      <alignment horizontal="center"/>
    </xf>
    <xf numFmtId="2" fontId="14" fillId="2" borderId="21" xfId="0" applyNumberFormat="1" applyFont="1" applyFill="1" applyBorder="1" applyAlignment="1">
      <alignment horizontal="center"/>
    </xf>
    <xf numFmtId="2" fontId="0" fillId="2" borderId="55" xfId="0" applyNumberFormat="1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26" fillId="2" borderId="2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2" fontId="6" fillId="2" borderId="9" xfId="0" applyNumberFormat="1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" fontId="16" fillId="2" borderId="0" xfId="0" applyNumberFormat="1" applyFont="1" applyFill="1" applyAlignment="1">
      <alignment horizontal="center"/>
    </xf>
    <xf numFmtId="0" fontId="29" fillId="0" borderId="11" xfId="0" applyFont="1" applyBorder="1" applyAlignment="1">
      <alignment horizontal="center"/>
    </xf>
    <xf numFmtId="0" fontId="1" fillId="2" borderId="4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53" xfId="3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3" borderId="17" xfId="2" applyFill="1" applyBorder="1" applyAlignment="1">
      <alignment horizontal="center"/>
    </xf>
    <xf numFmtId="0" fontId="5" fillId="3" borderId="18" xfId="2" applyFill="1" applyBorder="1" applyAlignment="1">
      <alignment horizontal="center"/>
    </xf>
    <xf numFmtId="0" fontId="5" fillId="3" borderId="19" xfId="2" applyFill="1" applyBorder="1" applyAlignment="1">
      <alignment horizontal="center"/>
    </xf>
    <xf numFmtId="0" fontId="5" fillId="2" borderId="17" xfId="2" applyFill="1" applyBorder="1" applyAlignment="1">
      <alignment horizontal="center"/>
    </xf>
    <xf numFmtId="0" fontId="5" fillId="2" borderId="18" xfId="2" applyFill="1" applyBorder="1" applyAlignment="1">
      <alignment horizontal="center"/>
    </xf>
    <xf numFmtId="0" fontId="5" fillId="2" borderId="19" xfId="2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797719</xdr:colOff>
      <xdr:row>19</xdr:row>
      <xdr:rowOff>95504</xdr:rowOff>
    </xdr:from>
    <xdr:ext cx="65" cy="34445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75863B-6815-E118-B8D3-B30A97380A5A}"/>
            </a:ext>
          </a:extLst>
        </xdr:cNvPr>
        <xdr:cNvSpPr txBox="1"/>
      </xdr:nvSpPr>
      <xdr:spPr>
        <a:xfrm>
          <a:off x="7579519" y="3362579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O76"/>
  <sheetViews>
    <sheetView tabSelected="1" showWhiteSpace="0" zoomScale="90" zoomScaleNormal="90" zoomScalePageLayoutView="85" workbookViewId="0">
      <selection activeCell="B70" sqref="B70"/>
    </sheetView>
  </sheetViews>
  <sheetFormatPr defaultColWidth="9.140625" defaultRowHeight="15" x14ac:dyDescent="0.25"/>
  <cols>
    <col min="1" max="1" width="32.42578125" style="38" bestFit="1" customWidth="1"/>
    <col min="2" max="2" width="14.28515625" style="45" customWidth="1"/>
    <col min="3" max="3" width="6.5703125" style="38" bestFit="1" customWidth="1"/>
    <col min="4" max="4" width="23.42578125" style="38" customWidth="1"/>
    <col min="5" max="5" width="14.28515625" style="45" customWidth="1"/>
    <col min="6" max="6" width="7.5703125" style="38" bestFit="1" customWidth="1"/>
    <col min="7" max="7" width="30" style="38" bestFit="1" customWidth="1"/>
    <col min="8" max="8" width="14.28515625" style="45" customWidth="1"/>
    <col min="9" max="9" width="4.85546875" style="38" bestFit="1" customWidth="1"/>
    <col min="10" max="10" width="30" style="38" bestFit="1" customWidth="1"/>
    <col min="11" max="11" width="14.28515625" style="45" customWidth="1"/>
    <col min="12" max="12" width="6.42578125" style="38" bestFit="1" customWidth="1"/>
    <col min="13" max="13" width="23.42578125" style="38" customWidth="1"/>
    <col min="14" max="14" width="13.140625" style="38" bestFit="1" customWidth="1"/>
    <col min="15" max="15" width="6.5703125" style="38" bestFit="1" customWidth="1"/>
    <col min="16" max="16" width="22.42578125" style="38" bestFit="1" customWidth="1"/>
    <col min="17" max="17" width="9.42578125" style="38" bestFit="1" customWidth="1"/>
    <col min="18" max="18" width="14.5703125" style="38" bestFit="1" customWidth="1"/>
    <col min="19" max="16384" width="9.140625" style="38"/>
  </cols>
  <sheetData>
    <row r="1" spans="1:15" ht="15.75" thickBot="1" x14ac:dyDescent="0.3">
      <c r="A1" s="226" t="s">
        <v>27</v>
      </c>
      <c r="B1" s="227"/>
      <c r="C1" s="228"/>
      <c r="D1" s="66"/>
      <c r="E1" s="67"/>
      <c r="F1" s="68"/>
      <c r="M1" s="219" t="s">
        <v>9</v>
      </c>
      <c r="N1" s="220"/>
      <c r="O1" s="221"/>
    </row>
    <row r="2" spans="1:15" ht="18" x14ac:dyDescent="0.35">
      <c r="A2" s="69" t="s">
        <v>135</v>
      </c>
      <c r="B2" s="70">
        <v>1</v>
      </c>
      <c r="C2" s="71"/>
      <c r="M2" s="72" t="s">
        <v>136</v>
      </c>
      <c r="N2" s="181">
        <v>8.6999999999999994E-2</v>
      </c>
      <c r="O2" s="73" t="s">
        <v>10</v>
      </c>
    </row>
    <row r="3" spans="1:15" ht="18" x14ac:dyDescent="0.35">
      <c r="A3" s="74" t="s">
        <v>137</v>
      </c>
      <c r="B3" s="75">
        <v>1</v>
      </c>
      <c r="C3" s="76"/>
      <c r="M3" s="72" t="s">
        <v>138</v>
      </c>
      <c r="N3" s="181">
        <v>5.7000000000000002E-2</v>
      </c>
      <c r="O3" s="73" t="s">
        <v>10</v>
      </c>
    </row>
    <row r="4" spans="1:15" ht="18" x14ac:dyDescent="0.35">
      <c r="A4" s="74" t="s">
        <v>17</v>
      </c>
      <c r="B4" s="75">
        <v>1</v>
      </c>
      <c r="C4" s="76"/>
      <c r="M4" s="72" t="s">
        <v>139</v>
      </c>
      <c r="N4" s="181">
        <f>2/3*1.6*N2</f>
        <v>9.2799999999999994E-2</v>
      </c>
      <c r="O4" s="73" t="s">
        <v>10</v>
      </c>
    </row>
    <row r="5" spans="1:15" ht="18" x14ac:dyDescent="0.35">
      <c r="A5" s="74" t="s">
        <v>5</v>
      </c>
      <c r="B5" s="75">
        <v>173</v>
      </c>
      <c r="C5" s="76" t="s">
        <v>13</v>
      </c>
      <c r="D5" s="1" t="s">
        <v>93</v>
      </c>
      <c r="E5" s="217">
        <v>6</v>
      </c>
      <c r="M5" s="72" t="s">
        <v>140</v>
      </c>
      <c r="N5" s="181">
        <f>2/3*2.4*N3</f>
        <v>9.1199999999999989E-2</v>
      </c>
      <c r="O5" s="73" t="s">
        <v>10</v>
      </c>
    </row>
    <row r="6" spans="1:15" x14ac:dyDescent="0.25">
      <c r="A6" s="74" t="s">
        <v>25</v>
      </c>
      <c r="B6" s="77" t="s">
        <v>12</v>
      </c>
      <c r="C6" s="76"/>
      <c r="M6" s="72" t="s">
        <v>6</v>
      </c>
      <c r="N6" s="181">
        <v>3</v>
      </c>
      <c r="O6" s="73"/>
    </row>
    <row r="7" spans="1:15" ht="21.75" x14ac:dyDescent="0.4">
      <c r="A7" s="74" t="s">
        <v>86</v>
      </c>
      <c r="B7" s="75">
        <f>IF(B6="C",9.5,11.5)</f>
        <v>9.5</v>
      </c>
      <c r="C7" s="76"/>
      <c r="M7" s="72" t="s">
        <v>141</v>
      </c>
      <c r="N7" s="181">
        <v>1.5</v>
      </c>
      <c r="O7" s="73"/>
    </row>
    <row r="8" spans="1:15" ht="18" x14ac:dyDescent="0.35">
      <c r="A8" s="74" t="s">
        <v>142</v>
      </c>
      <c r="B8" s="75">
        <f>IF(B6="C",900,700)</f>
        <v>900</v>
      </c>
      <c r="C8" s="76" t="s">
        <v>2</v>
      </c>
      <c r="M8" s="72" t="s">
        <v>143</v>
      </c>
      <c r="N8" s="181">
        <v>12</v>
      </c>
      <c r="O8" s="73" t="s">
        <v>11</v>
      </c>
    </row>
    <row r="9" spans="1:15" x14ac:dyDescent="0.25">
      <c r="A9" s="74" t="s">
        <v>14</v>
      </c>
      <c r="B9" s="75">
        <v>1</v>
      </c>
      <c r="C9" s="76"/>
      <c r="M9" s="72" t="s">
        <v>7</v>
      </c>
      <c r="N9" s="181">
        <v>2.0827</v>
      </c>
      <c r="O9" s="73" t="s">
        <v>11</v>
      </c>
    </row>
    <row r="10" spans="1:15" ht="18" x14ac:dyDescent="0.35">
      <c r="A10" s="74" t="s">
        <v>144</v>
      </c>
      <c r="B10" s="75">
        <v>0.6</v>
      </c>
      <c r="C10" s="76"/>
      <c r="M10" s="72" t="s">
        <v>8</v>
      </c>
      <c r="N10" s="181">
        <f>N5/N4</f>
        <v>0.98275862068965514</v>
      </c>
      <c r="O10" s="73" t="s">
        <v>11</v>
      </c>
    </row>
    <row r="11" spans="1:15" ht="18" x14ac:dyDescent="0.35">
      <c r="A11" s="78" t="s">
        <v>85</v>
      </c>
      <c r="B11" s="75">
        <v>0.6</v>
      </c>
      <c r="C11" s="76"/>
      <c r="M11" s="72" t="s">
        <v>145</v>
      </c>
      <c r="N11" s="181">
        <f>IF(N9&lt;N10,N4,IF(N9&gt;N8,N5*N8/N9^2,N5/N9))</f>
        <v>4.3789311950833049E-2</v>
      </c>
      <c r="O11" s="73"/>
    </row>
    <row r="12" spans="1:15" ht="18.75" thickBot="1" x14ac:dyDescent="0.4">
      <c r="A12" s="74" t="s">
        <v>146</v>
      </c>
      <c r="B12" s="176">
        <f>B11*0.00256*B2*B3*B4*B5^2</f>
        <v>45.970944000000003</v>
      </c>
      <c r="C12" s="76" t="s">
        <v>15</v>
      </c>
      <c r="M12" s="212" t="s">
        <v>85</v>
      </c>
      <c r="N12" s="181">
        <v>0.7</v>
      </c>
      <c r="O12" s="73"/>
    </row>
    <row r="13" spans="1:15" ht="18.75" thickBot="1" x14ac:dyDescent="0.4">
      <c r="A13" s="229" t="s">
        <v>99</v>
      </c>
      <c r="B13" s="230"/>
      <c r="C13" s="231"/>
      <c r="D13" s="232" t="s">
        <v>99</v>
      </c>
      <c r="E13" s="233"/>
      <c r="F13" s="234"/>
      <c r="G13" s="229" t="s">
        <v>99</v>
      </c>
      <c r="H13" s="230"/>
      <c r="I13" s="231"/>
      <c r="J13" s="232" t="s">
        <v>100</v>
      </c>
      <c r="K13" s="233"/>
      <c r="L13" s="234"/>
      <c r="M13" s="212" t="s">
        <v>188</v>
      </c>
      <c r="N13" s="198">
        <f>MAX(N12*N11*N7/N6,0.36*N3*N7/N6)</f>
        <v>1.5326259182791567E-2</v>
      </c>
      <c r="O13" s="73" t="s">
        <v>147</v>
      </c>
    </row>
    <row r="14" spans="1:15" ht="18" thickTop="1" x14ac:dyDescent="0.3">
      <c r="A14" s="79" t="s">
        <v>92</v>
      </c>
      <c r="B14" s="80">
        <v>1</v>
      </c>
      <c r="C14" s="81"/>
      <c r="D14" s="82" t="s">
        <v>92</v>
      </c>
      <c r="E14" s="83">
        <v>2</v>
      </c>
      <c r="F14" s="82"/>
      <c r="G14" s="79" t="s">
        <v>92</v>
      </c>
      <c r="H14" s="80">
        <v>3</v>
      </c>
      <c r="I14" s="81"/>
      <c r="J14" s="84" t="s">
        <v>92</v>
      </c>
      <c r="K14" s="83">
        <v>4</v>
      </c>
      <c r="L14" s="85"/>
      <c r="M14" s="86" t="s">
        <v>24</v>
      </c>
      <c r="N14" s="178">
        <f>(B29+E29+H29+K29+B47+E47+H47+K47+(B60*B64))/B70</f>
        <v>133.69910865810675</v>
      </c>
      <c r="O14" s="87"/>
    </row>
    <row r="15" spans="1:15" s="3" customFormat="1" x14ac:dyDescent="0.25">
      <c r="A15" s="88" t="s">
        <v>3</v>
      </c>
      <c r="B15" s="89">
        <v>0.375</v>
      </c>
      <c r="C15" s="90" t="s">
        <v>1</v>
      </c>
      <c r="D15" s="3" t="s">
        <v>3</v>
      </c>
      <c r="E15" s="91">
        <v>0.375</v>
      </c>
      <c r="F15" s="3" t="s">
        <v>1</v>
      </c>
      <c r="G15" s="88" t="s">
        <v>3</v>
      </c>
      <c r="H15" s="89">
        <v>0.375</v>
      </c>
      <c r="I15" s="90" t="s">
        <v>1</v>
      </c>
      <c r="J15" s="4" t="s">
        <v>3</v>
      </c>
      <c r="K15" s="91">
        <v>0</v>
      </c>
      <c r="L15" s="5" t="s">
        <v>1</v>
      </c>
      <c r="M15" s="72" t="s">
        <v>5</v>
      </c>
      <c r="N15" s="181">
        <f>N13*B70</f>
        <v>69.032863532217604</v>
      </c>
      <c r="O15" s="73" t="s">
        <v>0</v>
      </c>
    </row>
    <row r="16" spans="1:15" s="3" customFormat="1" ht="18.75" thickBot="1" x14ac:dyDescent="0.4">
      <c r="A16" s="88" t="s">
        <v>55</v>
      </c>
      <c r="B16" s="199">
        <v>0</v>
      </c>
      <c r="C16" s="90" t="s">
        <v>2</v>
      </c>
      <c r="D16" s="3" t="s">
        <v>55</v>
      </c>
      <c r="E16" s="203">
        <f>B18</f>
        <v>43.413899999999998</v>
      </c>
      <c r="G16" s="88" t="s">
        <v>55</v>
      </c>
      <c r="H16" s="199">
        <f>E18</f>
        <v>86.827799999999996</v>
      </c>
      <c r="I16" s="90" t="s">
        <v>2</v>
      </c>
      <c r="J16" s="4" t="s">
        <v>55</v>
      </c>
      <c r="K16" s="91">
        <v>0</v>
      </c>
      <c r="L16" s="5" t="s">
        <v>2</v>
      </c>
      <c r="M16" s="92" t="s">
        <v>84</v>
      </c>
      <c r="N16" s="194">
        <f>N15*N14</f>
        <v>9229.6323223742165</v>
      </c>
      <c r="O16" s="93" t="s">
        <v>30</v>
      </c>
    </row>
    <row r="17" spans="1:15" s="3" customFormat="1" x14ac:dyDescent="0.25">
      <c r="A17" s="88" t="s">
        <v>22</v>
      </c>
      <c r="B17" s="199">
        <v>43.413899999999998</v>
      </c>
      <c r="C17" s="90" t="s">
        <v>2</v>
      </c>
      <c r="D17" s="3" t="s">
        <v>22</v>
      </c>
      <c r="E17" s="203">
        <v>43.413899999999998</v>
      </c>
      <c r="F17" s="3" t="s">
        <v>2</v>
      </c>
      <c r="G17" s="88" t="s">
        <v>22</v>
      </c>
      <c r="H17" s="199">
        <v>47.163899999999998</v>
      </c>
      <c r="I17" s="90" t="s">
        <v>2</v>
      </c>
      <c r="J17" s="4" t="s">
        <v>22</v>
      </c>
      <c r="K17" s="91">
        <v>0</v>
      </c>
      <c r="L17" s="5" t="s">
        <v>2</v>
      </c>
      <c r="M17" s="86"/>
      <c r="O17" s="87"/>
    </row>
    <row r="18" spans="1:15" s="3" customFormat="1" ht="18" x14ac:dyDescent="0.35">
      <c r="A18" s="88" t="s">
        <v>54</v>
      </c>
      <c r="B18" s="199">
        <f>B16+B17</f>
        <v>43.413899999999998</v>
      </c>
      <c r="C18" s="90" t="s">
        <v>2</v>
      </c>
      <c r="D18" s="3" t="s">
        <v>54</v>
      </c>
      <c r="E18" s="203">
        <f>E16+E17</f>
        <v>86.827799999999996</v>
      </c>
      <c r="G18" s="88" t="s">
        <v>54</v>
      </c>
      <c r="H18" s="199">
        <f>H16+H17</f>
        <v>133.99169999999998</v>
      </c>
      <c r="I18" s="90" t="s">
        <v>2</v>
      </c>
      <c r="J18" s="4" t="s">
        <v>54</v>
      </c>
      <c r="K18" s="91">
        <f>K16+K17</f>
        <v>0</v>
      </c>
      <c r="L18" s="5" t="s">
        <v>2</v>
      </c>
      <c r="M18" s="86"/>
      <c r="O18" s="87"/>
    </row>
    <row r="19" spans="1:15" s="3" customFormat="1" x14ac:dyDescent="0.25">
      <c r="A19" s="88" t="s">
        <v>21</v>
      </c>
      <c r="B19" s="199">
        <v>2.5</v>
      </c>
      <c r="C19" s="90" t="s">
        <v>2</v>
      </c>
      <c r="D19" s="3" t="s">
        <v>21</v>
      </c>
      <c r="E19" s="203">
        <v>2.5</v>
      </c>
      <c r="F19" s="3" t="s">
        <v>2</v>
      </c>
      <c r="G19" s="88" t="s">
        <v>21</v>
      </c>
      <c r="H19" s="199">
        <v>2.5</v>
      </c>
      <c r="I19" s="90" t="s">
        <v>2</v>
      </c>
      <c r="J19" s="4" t="s">
        <v>21</v>
      </c>
      <c r="K19" s="91">
        <v>0</v>
      </c>
      <c r="L19" s="5" t="s">
        <v>2</v>
      </c>
      <c r="M19" s="86"/>
      <c r="O19" s="87"/>
    </row>
    <row r="20" spans="1:15" s="3" customFormat="1" ht="18" x14ac:dyDescent="0.35">
      <c r="A20" s="94" t="s">
        <v>148</v>
      </c>
      <c r="B20" s="200">
        <f>IF(B15=0,0,$E$5*B19*B17)</f>
        <v>651.20849999999996</v>
      </c>
      <c r="C20" s="95" t="s">
        <v>131</v>
      </c>
      <c r="D20" s="96" t="s">
        <v>148</v>
      </c>
      <c r="E20" s="210">
        <f>IF(E15=0,0,$E$5*E19*E17)</f>
        <v>651.20849999999996</v>
      </c>
      <c r="F20" s="211" t="s">
        <v>131</v>
      </c>
      <c r="G20" s="94" t="s">
        <v>148</v>
      </c>
      <c r="H20" s="200">
        <f>IF(H15=0,0,$E$5*H19*H17)</f>
        <v>707.45849999999996</v>
      </c>
      <c r="I20" s="95" t="s">
        <v>131</v>
      </c>
      <c r="J20" s="97" t="s">
        <v>148</v>
      </c>
      <c r="K20" s="98">
        <f>IF(K15=0,0,$E$5*K19*K17)</f>
        <v>0</v>
      </c>
      <c r="L20" s="99" t="s">
        <v>131</v>
      </c>
      <c r="M20" s="86"/>
      <c r="O20" s="87"/>
    </row>
    <row r="21" spans="1:15" s="3" customFormat="1" x14ac:dyDescent="0.25">
      <c r="A21" s="100" t="s">
        <v>48</v>
      </c>
      <c r="B21" s="201">
        <f>B16+B17/2</f>
        <v>21.706949999999999</v>
      </c>
      <c r="C21" s="101" t="s">
        <v>2</v>
      </c>
      <c r="D21" s="38" t="s">
        <v>48</v>
      </c>
      <c r="E21" s="204">
        <f>E16+E17/2</f>
        <v>65.12084999999999</v>
      </c>
      <c r="F21" s="38" t="s">
        <v>2</v>
      </c>
      <c r="G21" s="100" t="s">
        <v>48</v>
      </c>
      <c r="H21" s="201">
        <f>H16+H17/2</f>
        <v>110.40975</v>
      </c>
      <c r="I21" s="101" t="s">
        <v>2</v>
      </c>
      <c r="J21" s="39" t="s">
        <v>48</v>
      </c>
      <c r="K21" s="102">
        <f>K16+K17/2</f>
        <v>0</v>
      </c>
      <c r="L21" s="40" t="s">
        <v>2</v>
      </c>
      <c r="M21" s="86"/>
      <c r="O21" s="87"/>
    </row>
    <row r="22" spans="1:15" s="3" customFormat="1" ht="18" x14ac:dyDescent="0.35">
      <c r="A22" s="100" t="s">
        <v>149</v>
      </c>
      <c r="B22" s="201">
        <f>2.01*(MAX(B16,15)/$B$8)^(2/$B$7)</f>
        <v>0.84888415207790313</v>
      </c>
      <c r="C22" s="101"/>
      <c r="D22" s="38" t="s">
        <v>149</v>
      </c>
      <c r="E22" s="204">
        <f>2.01*(MAX(E16,15)/$B$8)^(2/$B$7)</f>
        <v>1.0617303308355983</v>
      </c>
      <c r="F22" s="38"/>
      <c r="G22" s="100" t="s">
        <v>149</v>
      </c>
      <c r="H22" s="201">
        <f>2.01*(MAX(H16,15)/$B$8)^(2/$B$7)</f>
        <v>1.2285390350434398</v>
      </c>
      <c r="I22" s="101"/>
      <c r="J22" s="39" t="s">
        <v>149</v>
      </c>
      <c r="K22" s="102">
        <f>2.01*(MAX(K16,15)/$B$8)^(2/$B$7)</f>
        <v>0.84888415207790313</v>
      </c>
      <c r="L22" s="40"/>
      <c r="M22" s="86"/>
      <c r="O22" s="87"/>
    </row>
    <row r="23" spans="1:15" s="3" customFormat="1" ht="18" x14ac:dyDescent="0.35">
      <c r="A23" s="100" t="s">
        <v>150</v>
      </c>
      <c r="B23" s="201">
        <f>2.01*(MAX(B18,15)/$B$8)^(2/$B$7)</f>
        <v>1.0617303308355983</v>
      </c>
      <c r="C23" s="101"/>
      <c r="D23" s="38" t="s">
        <v>150</v>
      </c>
      <c r="E23" s="204">
        <f>2.01*(MAX(E18,15)/$B$8)^(2/$B$7)</f>
        <v>1.2285390350434398</v>
      </c>
      <c r="F23" s="38"/>
      <c r="G23" s="100" t="s">
        <v>150</v>
      </c>
      <c r="H23" s="201">
        <f>2.01*(MAX(H18,15)/$B$8)^(2/$B$7)</f>
        <v>1.3460343378727331</v>
      </c>
      <c r="I23" s="101"/>
      <c r="J23" s="39" t="s">
        <v>150</v>
      </c>
      <c r="K23" s="102">
        <f>2.01*(MAX(K18,15)/$B$8)^(2/$B$7)</f>
        <v>0.84888415207790313</v>
      </c>
      <c r="L23" s="40"/>
      <c r="M23" s="86"/>
      <c r="O23" s="87"/>
    </row>
    <row r="24" spans="1:15" s="3" customFormat="1" ht="18" x14ac:dyDescent="0.35">
      <c r="A24" s="100" t="s">
        <v>151</v>
      </c>
      <c r="B24" s="201">
        <f>B12*B22</f>
        <v>39.024005817660772</v>
      </c>
      <c r="C24" s="101" t="s">
        <v>15</v>
      </c>
      <c r="D24" s="38" t="s">
        <v>151</v>
      </c>
      <c r="E24" s="204">
        <f>B12*E22</f>
        <v>48.80874558194477</v>
      </c>
      <c r="F24" s="38" t="s">
        <v>15</v>
      </c>
      <c r="G24" s="100" t="s">
        <v>151</v>
      </c>
      <c r="H24" s="201">
        <f>B12*H22</f>
        <v>56.477099181796007</v>
      </c>
      <c r="I24" s="101" t="s">
        <v>15</v>
      </c>
      <c r="J24" s="39" t="s">
        <v>151</v>
      </c>
      <c r="K24" s="102">
        <f>MAX(K22*$B$12,30*$B$10)</f>
        <v>39.024005817660772</v>
      </c>
      <c r="L24" s="40" t="s">
        <v>15</v>
      </c>
      <c r="M24" s="86"/>
      <c r="O24" s="87"/>
    </row>
    <row r="25" spans="1:15" s="3" customFormat="1" ht="18" x14ac:dyDescent="0.35">
      <c r="A25" s="100" t="s">
        <v>152</v>
      </c>
      <c r="B25" s="201">
        <f>B12*B23</f>
        <v>48.80874558194477</v>
      </c>
      <c r="C25" s="101" t="s">
        <v>15</v>
      </c>
      <c r="D25" s="38" t="s">
        <v>152</v>
      </c>
      <c r="E25" s="204">
        <f>B12*E23</f>
        <v>56.477099181796007</v>
      </c>
      <c r="F25" s="38" t="s">
        <v>15</v>
      </c>
      <c r="G25" s="100" t="s">
        <v>152</v>
      </c>
      <c r="H25" s="201">
        <f>B12*H23</f>
        <v>61.878469168424495</v>
      </c>
      <c r="I25" s="101" t="s">
        <v>15</v>
      </c>
      <c r="J25" s="39" t="s">
        <v>152</v>
      </c>
      <c r="K25" s="102">
        <f>MAX(K23*$B$12,30*$B$10)</f>
        <v>39.024005817660772</v>
      </c>
      <c r="L25" s="40" t="s">
        <v>15</v>
      </c>
      <c r="M25" s="86"/>
      <c r="O25" s="87"/>
    </row>
    <row r="26" spans="1:15" s="3" customFormat="1" x14ac:dyDescent="0.25">
      <c r="A26" s="100" t="s">
        <v>16</v>
      </c>
      <c r="B26" s="201">
        <f>MAX(30*B10*B20/1000,B9*B10*(B24+B25)/2*B20/1000)</f>
        <v>17.159230286943007</v>
      </c>
      <c r="C26" s="101" t="s">
        <v>0</v>
      </c>
      <c r="D26" s="38" t="s">
        <v>16</v>
      </c>
      <c r="E26" s="204">
        <f>MAX(30*B10*E20/1000,B9*B10*(E24+E25)/2*E20/1000)</f>
        <v>20.568911111948545</v>
      </c>
      <c r="F26" s="38" t="s">
        <v>0</v>
      </c>
      <c r="G26" s="100" t="s">
        <v>16</v>
      </c>
      <c r="H26" s="201">
        <f>MAX(30*B10*H20/1000,B9*B10*(H24+H25)/2*H20/1000)</f>
        <v>25.119495855508337</v>
      </c>
      <c r="I26" s="101" t="s">
        <v>0</v>
      </c>
      <c r="J26" s="39" t="s">
        <v>16</v>
      </c>
      <c r="K26" s="102">
        <f>(K24+K25)/2*K20/1000</f>
        <v>0</v>
      </c>
      <c r="L26" s="40" t="s">
        <v>0</v>
      </c>
      <c r="M26" s="103" t="s">
        <v>31</v>
      </c>
      <c r="N26" s="196">
        <f>K26+H26+E26+B26</f>
        <v>62.847637254399892</v>
      </c>
      <c r="O26" s="105" t="s">
        <v>0</v>
      </c>
    </row>
    <row r="27" spans="1:15" s="3" customFormat="1" x14ac:dyDescent="0.25">
      <c r="A27" s="100" t="s">
        <v>26</v>
      </c>
      <c r="B27" s="201">
        <f>B16+((B24*B17^2/2+2/3*0.5*B17^2*(B25-B24))/(B24*B17+0.5*B17*(B25-B24)))</f>
        <v>22.513015518240834</v>
      </c>
      <c r="C27" s="101" t="s">
        <v>2</v>
      </c>
      <c r="D27" s="38" t="s">
        <v>26</v>
      </c>
      <c r="E27" s="204">
        <f>E16+((E24*E17^2/2+2/3*0.5*E17^2*(E25-E24))/(E24*E17+0.5*E17*(E25-E24)))</f>
        <v>65.647848884316033</v>
      </c>
      <c r="F27" s="38" t="s">
        <v>2</v>
      </c>
      <c r="G27" s="100" t="s">
        <v>26</v>
      </c>
      <c r="H27" s="201">
        <f>H16+((H24*H17^2/2+2/3*0.5*H17^2*(H25-H24))/(H24*H17+0.5*H17*(H25-H24)))</f>
        <v>110.76848495076932</v>
      </c>
      <c r="I27" s="101" t="s">
        <v>2</v>
      </c>
      <c r="J27" s="39" t="s">
        <v>26</v>
      </c>
      <c r="K27" s="102">
        <v>0</v>
      </c>
      <c r="L27" s="40" t="s">
        <v>2</v>
      </c>
      <c r="M27" s="86"/>
      <c r="O27" s="73"/>
    </row>
    <row r="28" spans="1:15" s="3" customFormat="1" x14ac:dyDescent="0.25">
      <c r="A28" s="100" t="s">
        <v>28</v>
      </c>
      <c r="B28" s="201">
        <f>B27*B26</f>
        <v>386.30601773101603</v>
      </c>
      <c r="C28" s="101" t="s">
        <v>0</v>
      </c>
      <c r="D28" s="106" t="s">
        <v>28</v>
      </c>
      <c r="E28" s="204">
        <f t="shared" ref="E28" si="0">E27*E26</f>
        <v>1350.304768392127</v>
      </c>
      <c r="F28" s="40" t="s">
        <v>0</v>
      </c>
      <c r="G28" s="107" t="s">
        <v>28</v>
      </c>
      <c r="H28" s="201">
        <f t="shared" ref="H28" si="1">H27*H26</f>
        <v>2782.4484986417874</v>
      </c>
      <c r="I28" s="101" t="s">
        <v>0</v>
      </c>
      <c r="J28" s="106" t="s">
        <v>28</v>
      </c>
      <c r="K28" s="102">
        <v>0</v>
      </c>
      <c r="L28" s="40" t="s">
        <v>0</v>
      </c>
      <c r="M28" s="103" t="s">
        <v>32</v>
      </c>
      <c r="N28" s="196">
        <f>K28+H28+E28+B28</f>
        <v>4519.0592847649305</v>
      </c>
      <c r="O28" s="105" t="s">
        <v>30</v>
      </c>
    </row>
    <row r="29" spans="1:15" s="3" customFormat="1" x14ac:dyDescent="0.25">
      <c r="A29" s="100" t="s">
        <v>80</v>
      </c>
      <c r="B29" s="201">
        <f>B30*B21</f>
        <v>814.12382767004226</v>
      </c>
      <c r="C29" s="101"/>
      <c r="D29" s="106" t="s">
        <v>80</v>
      </c>
      <c r="E29" s="204">
        <f>E30*E21</f>
        <v>2629.5939267601266</v>
      </c>
      <c r="F29" s="38"/>
      <c r="G29" s="107" t="s">
        <v>80</v>
      </c>
      <c r="H29" s="201">
        <f>H30*H21</f>
        <v>4753.3973097677508</v>
      </c>
      <c r="I29" s="101"/>
      <c r="J29" s="106" t="s">
        <v>80</v>
      </c>
      <c r="K29" s="102">
        <f>K30*K21</f>
        <v>0</v>
      </c>
      <c r="L29" s="40"/>
      <c r="M29" s="86"/>
      <c r="N29" s="108"/>
      <c r="O29" s="87"/>
    </row>
    <row r="30" spans="1:15" s="1" customFormat="1" ht="15.75" thickBot="1" x14ac:dyDescent="0.3">
      <c r="A30" s="109" t="s">
        <v>4</v>
      </c>
      <c r="B30" s="202">
        <f>(PI()/4*(B19^2-(B19-2*B15/12)^2)*B17*490/1000*E5)+($H$54/3)</f>
        <v>37.505215042649581</v>
      </c>
      <c r="C30" s="110" t="s">
        <v>0</v>
      </c>
      <c r="D30" s="111" t="s">
        <v>4</v>
      </c>
      <c r="E30" s="205">
        <f>(PI()/4*(E19^2-(E19-2*E15/12)^2)*E17*490/1000*E5)+($H$52/2+$H$54/3)</f>
        <v>40.380215042649581</v>
      </c>
      <c r="F30" s="111" t="s">
        <v>0</v>
      </c>
      <c r="G30" s="109" t="s">
        <v>4</v>
      </c>
      <c r="H30" s="202">
        <f>(PI()/4*(H19^2-(H19-2*H15/12)^2)*H17*490/1000*E5)+($H$52/2+$H$54/3)</f>
        <v>43.052332876106966</v>
      </c>
      <c r="I30" s="110" t="s">
        <v>0</v>
      </c>
      <c r="J30" s="113" t="s">
        <v>4</v>
      </c>
      <c r="K30" s="112">
        <f>PI()/4*(K19^2-(K19-2*K15/12)^2)*K17*490/1000*E5</f>
        <v>0</v>
      </c>
      <c r="L30" s="114" t="s">
        <v>0</v>
      </c>
      <c r="M30" s="115" t="s">
        <v>18</v>
      </c>
      <c r="N30" s="197">
        <f>K30+H30+E30+B30</f>
        <v>120.93776296140612</v>
      </c>
      <c r="O30" s="116" t="s">
        <v>0</v>
      </c>
    </row>
    <row r="31" spans="1:15" ht="18" thickBot="1" x14ac:dyDescent="0.35">
      <c r="A31" s="229" t="s">
        <v>101</v>
      </c>
      <c r="B31" s="230"/>
      <c r="C31" s="231"/>
      <c r="D31" s="232" t="s">
        <v>102</v>
      </c>
      <c r="E31" s="233"/>
      <c r="F31" s="234"/>
      <c r="G31" s="229" t="s">
        <v>102</v>
      </c>
      <c r="H31" s="230"/>
      <c r="I31" s="231"/>
      <c r="J31" s="232" t="s">
        <v>102</v>
      </c>
      <c r="K31" s="233"/>
      <c r="L31" s="234"/>
      <c r="M31" s="117"/>
      <c r="N31" s="18"/>
      <c r="O31" s="118"/>
    </row>
    <row r="32" spans="1:15" ht="18" thickTop="1" x14ac:dyDescent="0.3">
      <c r="A32" s="79" t="s">
        <v>92</v>
      </c>
      <c r="B32" s="80">
        <v>1</v>
      </c>
      <c r="C32" s="81"/>
      <c r="D32" s="82" t="s">
        <v>92</v>
      </c>
      <c r="E32" s="83">
        <v>2</v>
      </c>
      <c r="F32" s="82"/>
      <c r="G32" s="79" t="s">
        <v>92</v>
      </c>
      <c r="H32" s="80">
        <v>3</v>
      </c>
      <c r="I32" s="81"/>
      <c r="J32" s="84" t="s">
        <v>92</v>
      </c>
      <c r="K32" s="83">
        <v>4</v>
      </c>
      <c r="L32" s="85"/>
      <c r="M32" s="117"/>
      <c r="N32" s="18"/>
      <c r="O32" s="118"/>
    </row>
    <row r="33" spans="1:15" s="3" customFormat="1" x14ac:dyDescent="0.25">
      <c r="A33" s="88" t="s">
        <v>3</v>
      </c>
      <c r="B33" s="89">
        <v>0.625</v>
      </c>
      <c r="C33" s="90" t="s">
        <v>1</v>
      </c>
      <c r="D33" s="3" t="s">
        <v>3</v>
      </c>
      <c r="E33" s="91">
        <v>0.625</v>
      </c>
      <c r="F33" s="3" t="s">
        <v>1</v>
      </c>
      <c r="G33" s="88" t="s">
        <v>3</v>
      </c>
      <c r="H33" s="89">
        <v>0.625</v>
      </c>
      <c r="I33" s="90" t="s">
        <v>1</v>
      </c>
      <c r="J33" s="4" t="s">
        <v>3</v>
      </c>
      <c r="K33" s="91">
        <v>0</v>
      </c>
      <c r="L33" s="5" t="s">
        <v>1</v>
      </c>
      <c r="M33" s="86"/>
      <c r="O33" s="87"/>
    </row>
    <row r="34" spans="1:15" s="3" customFormat="1" ht="18" x14ac:dyDescent="0.35">
      <c r="A34" s="88" t="s">
        <v>55</v>
      </c>
      <c r="B34" s="199">
        <v>0</v>
      </c>
      <c r="C34" s="90" t="s">
        <v>2</v>
      </c>
      <c r="D34" s="3" t="s">
        <v>55</v>
      </c>
      <c r="E34" s="203">
        <f>B36</f>
        <v>43.413899999999998</v>
      </c>
      <c r="G34" s="88" t="s">
        <v>55</v>
      </c>
      <c r="H34" s="199">
        <f>E36</f>
        <v>86.827799999999996</v>
      </c>
      <c r="I34" s="90" t="s">
        <v>2</v>
      </c>
      <c r="J34" s="4" t="s">
        <v>55</v>
      </c>
      <c r="K34" s="91">
        <v>0</v>
      </c>
      <c r="L34" s="5" t="s">
        <v>2</v>
      </c>
      <c r="M34" s="86"/>
      <c r="O34" s="87"/>
    </row>
    <row r="35" spans="1:15" s="3" customFormat="1" x14ac:dyDescent="0.25">
      <c r="A35" s="88" t="s">
        <v>87</v>
      </c>
      <c r="B35" s="199">
        <v>43.413899999999998</v>
      </c>
      <c r="C35" s="90" t="s">
        <v>2</v>
      </c>
      <c r="D35" s="3" t="s">
        <v>87</v>
      </c>
      <c r="E35" s="203">
        <v>43.413899999999998</v>
      </c>
      <c r="F35" s="3" t="s">
        <v>2</v>
      </c>
      <c r="G35" s="88" t="s">
        <v>87</v>
      </c>
      <c r="H35" s="199">
        <v>29.255199999999999</v>
      </c>
      <c r="I35" s="90" t="s">
        <v>2</v>
      </c>
      <c r="J35" s="4" t="s">
        <v>87</v>
      </c>
      <c r="K35" s="91">
        <v>0</v>
      </c>
      <c r="L35" s="5" t="s">
        <v>2</v>
      </c>
      <c r="M35" s="86"/>
      <c r="O35" s="87"/>
    </row>
    <row r="36" spans="1:15" s="3" customFormat="1" ht="18" x14ac:dyDescent="0.35">
      <c r="A36" s="88" t="s">
        <v>54</v>
      </c>
      <c r="B36" s="199">
        <f>B34+B35</f>
        <v>43.413899999999998</v>
      </c>
      <c r="C36" s="90" t="s">
        <v>2</v>
      </c>
      <c r="D36" s="3" t="s">
        <v>54</v>
      </c>
      <c r="E36" s="203">
        <f>E34+E35</f>
        <v>86.827799999999996</v>
      </c>
      <c r="G36" s="88" t="s">
        <v>54</v>
      </c>
      <c r="H36" s="199">
        <f>H34+H35</f>
        <v>116.083</v>
      </c>
      <c r="I36" s="90" t="s">
        <v>2</v>
      </c>
      <c r="J36" s="4" t="s">
        <v>54</v>
      </c>
      <c r="K36" s="91">
        <f>K34+K35</f>
        <v>0</v>
      </c>
      <c r="L36" s="5" t="s">
        <v>2</v>
      </c>
      <c r="M36" s="86"/>
      <c r="O36" s="87"/>
    </row>
    <row r="37" spans="1:15" s="3" customFormat="1" x14ac:dyDescent="0.25">
      <c r="A37" s="119" t="s">
        <v>88</v>
      </c>
      <c r="B37" s="206">
        <v>4</v>
      </c>
      <c r="C37" s="120" t="s">
        <v>2</v>
      </c>
      <c r="D37" s="121" t="s">
        <v>88</v>
      </c>
      <c r="E37" s="208">
        <v>4</v>
      </c>
      <c r="F37" s="123" t="s">
        <v>2</v>
      </c>
      <c r="G37" s="119" t="s">
        <v>88</v>
      </c>
      <c r="H37" s="206">
        <v>4</v>
      </c>
      <c r="I37" s="120" t="s">
        <v>2</v>
      </c>
      <c r="J37" s="121" t="s">
        <v>88</v>
      </c>
      <c r="K37" s="122">
        <v>0</v>
      </c>
      <c r="L37" s="123" t="s">
        <v>2</v>
      </c>
      <c r="M37" s="86"/>
      <c r="O37" s="87"/>
    </row>
    <row r="38" spans="1:15" s="18" customFormat="1" ht="18" x14ac:dyDescent="0.35">
      <c r="A38" s="124" t="s">
        <v>153</v>
      </c>
      <c r="B38" s="207">
        <f>IF(B33=0,0,B37*B35)</f>
        <v>173.65559999999999</v>
      </c>
      <c r="C38" s="125" t="s">
        <v>154</v>
      </c>
      <c r="D38" s="18" t="s">
        <v>153</v>
      </c>
      <c r="E38" s="209">
        <f>IF(E33=0,0,E37*E35)</f>
        <v>173.65559999999999</v>
      </c>
      <c r="F38" s="18" t="s">
        <v>154</v>
      </c>
      <c r="G38" s="124" t="s">
        <v>153</v>
      </c>
      <c r="H38" s="207">
        <f>IF(H33=0,0,H37*H35)</f>
        <v>117.02079999999999</v>
      </c>
      <c r="I38" s="125" t="s">
        <v>154</v>
      </c>
      <c r="J38" s="19" t="s">
        <v>153</v>
      </c>
      <c r="K38" s="126">
        <f>IF(K33=0,0,K37*K35)</f>
        <v>0</v>
      </c>
      <c r="L38" s="127" t="s">
        <v>154</v>
      </c>
      <c r="M38" s="117"/>
      <c r="O38" s="118"/>
    </row>
    <row r="39" spans="1:15" s="18" customFormat="1" x14ac:dyDescent="0.25">
      <c r="A39" s="124" t="s">
        <v>48</v>
      </c>
      <c r="B39" s="207">
        <f>B34+B35/2</f>
        <v>21.706949999999999</v>
      </c>
      <c r="C39" s="125" t="s">
        <v>2</v>
      </c>
      <c r="D39" s="18" t="s">
        <v>48</v>
      </c>
      <c r="E39" s="209">
        <f>E34+E35/2</f>
        <v>65.12084999999999</v>
      </c>
      <c r="F39" s="18" t="s">
        <v>2</v>
      </c>
      <c r="G39" s="124" t="s">
        <v>48</v>
      </c>
      <c r="H39" s="207">
        <f>H34+H35/2</f>
        <v>101.4554</v>
      </c>
      <c r="I39" s="125" t="s">
        <v>2</v>
      </c>
      <c r="J39" s="19" t="s">
        <v>48</v>
      </c>
      <c r="K39" s="126">
        <f>K34+K35/2</f>
        <v>0</v>
      </c>
      <c r="L39" s="127" t="s">
        <v>2</v>
      </c>
      <c r="M39" s="117"/>
      <c r="O39" s="118"/>
    </row>
    <row r="40" spans="1:15" s="18" customFormat="1" ht="18" x14ac:dyDescent="0.35">
      <c r="A40" s="124" t="s">
        <v>149</v>
      </c>
      <c r="B40" s="207">
        <f>2.01*(MAX(B34,15)/$B$8)^(2/$B$7)</f>
        <v>0.84888415207790313</v>
      </c>
      <c r="C40" s="125"/>
      <c r="D40" s="18" t="s">
        <v>149</v>
      </c>
      <c r="E40" s="209">
        <f>2.01*(MAX(E34,15)/$B$8)^(2/$B$7)</f>
        <v>1.0617303308355983</v>
      </c>
      <c r="G40" s="124" t="s">
        <v>149</v>
      </c>
      <c r="H40" s="207">
        <f>2.01*(MAX(H34,15)/$B$8)^(2/$B$7)</f>
        <v>1.2285390350434398</v>
      </c>
      <c r="I40" s="125"/>
      <c r="J40" s="19" t="s">
        <v>149</v>
      </c>
      <c r="K40" s="126">
        <f>2.01*(MAX(K34,15)/$B$8)^(2/$B$7)</f>
        <v>0.84888415207790313</v>
      </c>
      <c r="L40" s="127"/>
      <c r="M40" s="117"/>
      <c r="O40" s="118"/>
    </row>
    <row r="41" spans="1:15" s="18" customFormat="1" ht="18" x14ac:dyDescent="0.35">
      <c r="A41" s="124" t="s">
        <v>150</v>
      </c>
      <c r="B41" s="207">
        <f>2.01*(MAX(B36,15)/$B$8)^(2/$B$7)</f>
        <v>1.0617303308355983</v>
      </c>
      <c r="C41" s="125"/>
      <c r="D41" s="18" t="s">
        <v>150</v>
      </c>
      <c r="E41" s="209">
        <f>2.01*(MAX(E36,15)/$B$8)^(2/$B$7)</f>
        <v>1.2285390350434398</v>
      </c>
      <c r="G41" s="124" t="s">
        <v>150</v>
      </c>
      <c r="H41" s="207">
        <f>2.01*(MAX(H36,15)/$B$8)^(2/$B$7)</f>
        <v>1.305985626502248</v>
      </c>
      <c r="I41" s="125"/>
      <c r="J41" s="19" t="s">
        <v>150</v>
      </c>
      <c r="K41" s="126">
        <f>2.01*(MAX(K36,15)/$B$8)^(2/$B$7)</f>
        <v>0.84888415207790313</v>
      </c>
      <c r="L41" s="127"/>
      <c r="M41" s="117"/>
      <c r="O41" s="118"/>
    </row>
    <row r="42" spans="1:15" s="18" customFormat="1" ht="18" x14ac:dyDescent="0.35">
      <c r="A42" s="124" t="s">
        <v>151</v>
      </c>
      <c r="B42" s="207">
        <f>B12*B40</f>
        <v>39.024005817660772</v>
      </c>
      <c r="C42" s="125" t="s">
        <v>15</v>
      </c>
      <c r="D42" s="18" t="s">
        <v>151</v>
      </c>
      <c r="E42" s="209">
        <f>B12*E40</f>
        <v>48.80874558194477</v>
      </c>
      <c r="F42" s="18" t="s">
        <v>15</v>
      </c>
      <c r="G42" s="124" t="s">
        <v>151</v>
      </c>
      <c r="H42" s="207">
        <f>B12*H40</f>
        <v>56.477099181796007</v>
      </c>
      <c r="I42" s="125" t="s">
        <v>15</v>
      </c>
      <c r="J42" s="19" t="s">
        <v>151</v>
      </c>
      <c r="K42" s="126">
        <f>MAX(K40*$B$12,30*$B$10)</f>
        <v>39.024005817660772</v>
      </c>
      <c r="L42" s="127" t="s">
        <v>15</v>
      </c>
      <c r="M42" s="117"/>
      <c r="O42" s="118"/>
    </row>
    <row r="43" spans="1:15" s="18" customFormat="1" ht="18" x14ac:dyDescent="0.35">
      <c r="A43" s="124" t="s">
        <v>152</v>
      </c>
      <c r="B43" s="207">
        <f>B12*B41</f>
        <v>48.80874558194477</v>
      </c>
      <c r="C43" s="125" t="s">
        <v>15</v>
      </c>
      <c r="D43" s="18" t="s">
        <v>152</v>
      </c>
      <c r="E43" s="209">
        <f>B12*E41</f>
        <v>56.477099181796007</v>
      </c>
      <c r="F43" s="18" t="s">
        <v>15</v>
      </c>
      <c r="G43" s="124" t="s">
        <v>152</v>
      </c>
      <c r="H43" s="207">
        <f>B12*H41</f>
        <v>60.037392100739766</v>
      </c>
      <c r="I43" s="125" t="s">
        <v>15</v>
      </c>
      <c r="J43" s="19" t="s">
        <v>152</v>
      </c>
      <c r="K43" s="126">
        <f>MAX(K41*$B$12,30*$B$10)</f>
        <v>39.024005817660772</v>
      </c>
      <c r="L43" s="127" t="s">
        <v>15</v>
      </c>
      <c r="M43" s="103"/>
      <c r="N43" s="104"/>
      <c r="O43" s="105"/>
    </row>
    <row r="44" spans="1:15" s="18" customFormat="1" x14ac:dyDescent="0.25">
      <c r="A44" s="124" t="s">
        <v>16</v>
      </c>
      <c r="B44" s="207">
        <f>MAX(30*B10*B38/1000,B9*B10*(B42+B43)/2*B38/1000)</f>
        <v>4.5757947431848018</v>
      </c>
      <c r="C44" s="125" t="s">
        <v>0</v>
      </c>
      <c r="D44" s="18" t="s">
        <v>16</v>
      </c>
      <c r="E44" s="209">
        <f>MAX(30*B10*E38/1000,B9*B10*(E42+E43)/2*E38/1000)</f>
        <v>5.4850429631862792</v>
      </c>
      <c r="F44" s="18" t="s">
        <v>0</v>
      </c>
      <c r="G44" s="124" t="s">
        <v>16</v>
      </c>
      <c r="H44" s="207">
        <f>MAX(30*B10*H38/1000,B9*B10*(H42+H43)/2*H38/1000)</f>
        <v>4.0903856944426087</v>
      </c>
      <c r="I44" s="125" t="s">
        <v>0</v>
      </c>
      <c r="J44" s="19" t="s">
        <v>16</v>
      </c>
      <c r="K44" s="126">
        <f>(K42+K43)/2*K38/1000</f>
        <v>0</v>
      </c>
      <c r="L44" s="127" t="s">
        <v>0</v>
      </c>
      <c r="M44" s="103" t="s">
        <v>31</v>
      </c>
      <c r="N44" s="196">
        <f>H44+E44+B44+K44</f>
        <v>14.151223400813688</v>
      </c>
      <c r="O44" s="105" t="s">
        <v>0</v>
      </c>
    </row>
    <row r="45" spans="1:15" s="18" customFormat="1" x14ac:dyDescent="0.25">
      <c r="A45" s="124" t="s">
        <v>26</v>
      </c>
      <c r="B45" s="207">
        <f>B34+((B42*B35^2/2+2/3*0.5*B35^2*(B43-B42))/(B42*B35+0.5*B35*(B43-B42)))</f>
        <v>22.513015518240834</v>
      </c>
      <c r="C45" s="125" t="s">
        <v>2</v>
      </c>
      <c r="D45" s="18" t="s">
        <v>26</v>
      </c>
      <c r="E45" s="209">
        <f>E34+((E42*E35^2/2+2/3*0.5*E35^2*(E43-E42))/(E42*E35+0.5*E35*(E43-E42)))</f>
        <v>65.647848884316033</v>
      </c>
      <c r="F45" s="18" t="s">
        <v>2</v>
      </c>
      <c r="G45" s="124" t="s">
        <v>26</v>
      </c>
      <c r="H45" s="207">
        <f>H34+((H42*H35^2/2+2/3*0.5*H35^2*(H43-H42))/(H42*H35+0.5*H35*(H43-H42)))</f>
        <v>101.60439016745438</v>
      </c>
      <c r="I45" s="125" t="s">
        <v>2</v>
      </c>
      <c r="J45" s="19" t="s">
        <v>26</v>
      </c>
      <c r="K45" s="126">
        <v>0</v>
      </c>
      <c r="L45" s="127" t="s">
        <v>2</v>
      </c>
      <c r="M45" s="103"/>
      <c r="N45" s="104"/>
      <c r="O45" s="105"/>
    </row>
    <row r="46" spans="1:15" x14ac:dyDescent="0.25">
      <c r="A46" s="100" t="s">
        <v>28</v>
      </c>
      <c r="B46" s="201">
        <f>B45*B44</f>
        <v>103.01493806160428</v>
      </c>
      <c r="C46" s="101" t="s">
        <v>0</v>
      </c>
      <c r="D46" s="106" t="s">
        <v>28</v>
      </c>
      <c r="E46" s="204">
        <f t="shared" ref="E46" si="2">E45*E44</f>
        <v>360.08127157123391</v>
      </c>
      <c r="F46" s="40" t="s">
        <v>0</v>
      </c>
      <c r="G46" s="107" t="s">
        <v>28</v>
      </c>
      <c r="H46" s="201">
        <f t="shared" ref="H46" si="3">H45*H44</f>
        <v>415.60114403352065</v>
      </c>
      <c r="I46" s="101" t="s">
        <v>0</v>
      </c>
      <c r="J46" s="106" t="s">
        <v>28</v>
      </c>
      <c r="K46" s="102">
        <v>0</v>
      </c>
      <c r="L46" s="40" t="s">
        <v>0</v>
      </c>
      <c r="M46" s="103" t="s">
        <v>32</v>
      </c>
      <c r="N46" s="196">
        <f>H46+E46+B46+K46</f>
        <v>878.69735366635894</v>
      </c>
      <c r="O46" s="105" t="s">
        <v>30</v>
      </c>
    </row>
    <row r="47" spans="1:15" x14ac:dyDescent="0.25">
      <c r="A47" s="100" t="s">
        <v>80</v>
      </c>
      <c r="B47" s="201">
        <f>B48*B39</f>
        <v>298.29110874173176</v>
      </c>
      <c r="C47" s="101"/>
      <c r="D47" s="106" t="s">
        <v>80</v>
      </c>
      <c r="E47" s="204">
        <f>E48*E39</f>
        <v>894.87332622519511</v>
      </c>
      <c r="G47" s="107" t="s">
        <v>80</v>
      </c>
      <c r="H47" s="201">
        <f>H48*H39</f>
        <v>939.48735667062226</v>
      </c>
      <c r="I47" s="101"/>
      <c r="J47" s="106" t="s">
        <v>80</v>
      </c>
      <c r="K47" s="102">
        <f>K48*K39</f>
        <v>0</v>
      </c>
      <c r="L47" s="40"/>
      <c r="M47" s="128"/>
      <c r="N47" s="129"/>
      <c r="O47" s="130"/>
    </row>
    <row r="48" spans="1:15" ht="15.75" thickBot="1" x14ac:dyDescent="0.3">
      <c r="A48" s="109" t="s">
        <v>4</v>
      </c>
      <c r="B48" s="202">
        <f>PI()/4*(B37^2-(B37-2*B33/12)^2)*B35*490/1000</f>
        <v>13.741732889315715</v>
      </c>
      <c r="C48" s="110" t="s">
        <v>0</v>
      </c>
      <c r="D48" s="111" t="s">
        <v>4</v>
      </c>
      <c r="E48" s="205">
        <f>PI()/4*(E37^2-(E37-2*E33/12)^2)*E35*490/1000</f>
        <v>13.741732889315715</v>
      </c>
      <c r="F48" s="111" t="s">
        <v>0</v>
      </c>
      <c r="G48" s="109" t="s">
        <v>4</v>
      </c>
      <c r="H48" s="202">
        <f>PI()/4*(H37^2-(H37-2*H33/12)^2)*H35*490/1000</f>
        <v>9.2601020415928801</v>
      </c>
      <c r="I48" s="110" t="s">
        <v>0</v>
      </c>
      <c r="J48" s="113" t="s">
        <v>4</v>
      </c>
      <c r="K48" s="112">
        <f>PI()/4*(K37^2-(K37-2*K33/12)^2)*K35*490/1000</f>
        <v>0</v>
      </c>
      <c r="L48" s="114" t="s">
        <v>0</v>
      </c>
      <c r="M48" s="115" t="s">
        <v>18</v>
      </c>
      <c r="N48" s="197">
        <f>H48+E48+B48+K48</f>
        <v>36.743567820224307</v>
      </c>
      <c r="O48" s="116" t="s">
        <v>0</v>
      </c>
    </row>
    <row r="50" spans="1:12" ht="15.75" thickBot="1" x14ac:dyDescent="0.3"/>
    <row r="51" spans="1:12" s="3" customFormat="1" ht="15.75" thickBot="1" x14ac:dyDescent="0.3">
      <c r="A51" s="223" t="s">
        <v>51</v>
      </c>
      <c r="B51" s="224"/>
      <c r="C51" s="225"/>
      <c r="G51" s="235" t="s">
        <v>178</v>
      </c>
      <c r="H51" s="236"/>
      <c r="I51" s="237"/>
      <c r="J51" s="223" t="s">
        <v>177</v>
      </c>
      <c r="K51" s="224"/>
      <c r="L51" s="225"/>
    </row>
    <row r="52" spans="1:12" s="3" customFormat="1" x14ac:dyDescent="0.25">
      <c r="A52" s="31" t="s">
        <v>49</v>
      </c>
      <c r="B52" s="131" t="s">
        <v>119</v>
      </c>
      <c r="C52" s="30" t="s">
        <v>50</v>
      </c>
      <c r="F52" s="5"/>
      <c r="G52" s="213" t="s">
        <v>179</v>
      </c>
      <c r="H52" s="214">
        <v>5.75</v>
      </c>
      <c r="I52" s="30" t="s">
        <v>0</v>
      </c>
      <c r="J52" s="3" t="s">
        <v>128</v>
      </c>
      <c r="K52" s="108">
        <v>6.0449999999999999</v>
      </c>
      <c r="L52" s="30" t="s">
        <v>0</v>
      </c>
    </row>
    <row r="53" spans="1:12" s="3" customFormat="1" ht="18" x14ac:dyDescent="0.35">
      <c r="A53" s="4" t="s">
        <v>55</v>
      </c>
      <c r="B53" s="108">
        <v>121.6253</v>
      </c>
      <c r="C53" s="5" t="s">
        <v>56</v>
      </c>
      <c r="F53" s="5"/>
      <c r="H53" s="108"/>
      <c r="I53" s="5"/>
      <c r="K53" s="108"/>
      <c r="L53" s="5"/>
    </row>
    <row r="54" spans="1:12" s="3" customFormat="1" ht="18" x14ac:dyDescent="0.35">
      <c r="A54" s="4" t="s">
        <v>54</v>
      </c>
      <c r="B54" s="108">
        <f>B53+B61</f>
        <v>156.48050000000001</v>
      </c>
      <c r="C54" s="5" t="s">
        <v>2</v>
      </c>
      <c r="F54" s="5"/>
      <c r="G54" s="3" t="s">
        <v>180</v>
      </c>
      <c r="H54" s="108">
        <v>19.71</v>
      </c>
      <c r="I54" s="5" t="s">
        <v>0</v>
      </c>
      <c r="J54" s="3" t="s">
        <v>89</v>
      </c>
      <c r="K54" s="108">
        <v>8.35</v>
      </c>
      <c r="L54" s="5" t="s">
        <v>0</v>
      </c>
    </row>
    <row r="55" spans="1:12" s="3" customFormat="1" ht="18" x14ac:dyDescent="0.35">
      <c r="A55" s="4" t="s">
        <v>155</v>
      </c>
      <c r="B55" s="108">
        <f>2.01*(MAX(B53,15)/$B$8)^(2/$B$7)</f>
        <v>1.3188720696944543</v>
      </c>
      <c r="C55" s="5"/>
      <c r="F55" s="5"/>
      <c r="H55" s="108"/>
      <c r="I55" s="5"/>
      <c r="K55" s="108"/>
      <c r="L55" s="5"/>
    </row>
    <row r="56" spans="1:12" s="3" customFormat="1" ht="18" x14ac:dyDescent="0.35">
      <c r="A56" s="4" t="s">
        <v>156</v>
      </c>
      <c r="B56" s="108">
        <f>2.01*(MAX(B54,15)/$B$8)^(2/$B$7)</f>
        <v>1.390727019354236</v>
      </c>
      <c r="C56" s="5"/>
      <c r="F56" s="5"/>
      <c r="H56" s="108"/>
      <c r="I56" s="5"/>
      <c r="K56" s="108"/>
      <c r="L56" s="5"/>
    </row>
    <row r="57" spans="1:12" s="3" customFormat="1" ht="18" x14ac:dyDescent="0.35">
      <c r="A57" s="4" t="s">
        <v>157</v>
      </c>
      <c r="B57" s="108">
        <f>B12*B55</f>
        <v>60.629794059087857</v>
      </c>
      <c r="C57" s="5" t="s">
        <v>122</v>
      </c>
      <c r="F57" s="5"/>
      <c r="H57" s="108"/>
      <c r="I57" s="5"/>
      <c r="K57" s="108"/>
      <c r="L57" s="5"/>
    </row>
    <row r="58" spans="1:12" ht="18" x14ac:dyDescent="0.35">
      <c r="A58" s="4" t="s">
        <v>158</v>
      </c>
      <c r="B58" s="108">
        <f>B12*B56</f>
        <v>63.933033926020506</v>
      </c>
      <c r="C58" s="5" t="s">
        <v>122</v>
      </c>
      <c r="F58" s="40"/>
      <c r="G58" s="3"/>
      <c r="H58" s="108"/>
      <c r="I58" s="5"/>
      <c r="J58" s="3"/>
      <c r="K58" s="108"/>
      <c r="L58" s="5"/>
    </row>
    <row r="59" spans="1:12" x14ac:dyDescent="0.25">
      <c r="A59" s="6" t="s">
        <v>16</v>
      </c>
      <c r="B59" s="108">
        <f>MAX(30*B10*B65/1000,B9*B10*(B57+B58)/2*B65/1000)</f>
        <v>60.425427855576054</v>
      </c>
      <c r="C59" s="7" t="s">
        <v>52</v>
      </c>
      <c r="F59" s="40"/>
      <c r="G59" s="108"/>
      <c r="H59" s="108"/>
      <c r="I59" s="7"/>
      <c r="J59" s="108"/>
      <c r="K59" s="108"/>
      <c r="L59" s="7"/>
    </row>
    <row r="60" spans="1:12" x14ac:dyDescent="0.25">
      <c r="A60" s="4" t="s">
        <v>94</v>
      </c>
      <c r="B60" s="108">
        <f>VLOOKUP($B$52,'Tanks Information'!$A$2:$H$8,3,FALSE)+B53</f>
        <v>136.62529999999998</v>
      </c>
      <c r="C60" s="5" t="s">
        <v>56</v>
      </c>
      <c r="F60" s="40"/>
      <c r="G60" s="3"/>
      <c r="H60" s="108"/>
      <c r="I60" s="5"/>
      <c r="J60" s="3"/>
      <c r="K60" s="108"/>
      <c r="L60" s="5"/>
    </row>
    <row r="61" spans="1:12" x14ac:dyDescent="0.25">
      <c r="A61" s="4" t="s">
        <v>95</v>
      </c>
      <c r="B61" s="108">
        <f>VLOOKUP($B$52,'Tanks Information'!$A$2:$H$8,4,FALSE)</f>
        <v>34.855200000000004</v>
      </c>
      <c r="C61" s="5" t="s">
        <v>2</v>
      </c>
      <c r="F61" s="40"/>
      <c r="G61" s="3"/>
      <c r="H61" s="108"/>
      <c r="I61" s="5"/>
      <c r="J61" s="3"/>
      <c r="K61" s="108"/>
      <c r="L61" s="5"/>
    </row>
    <row r="62" spans="1:12" x14ac:dyDescent="0.25">
      <c r="A62" s="4" t="s">
        <v>96</v>
      </c>
      <c r="B62" s="108">
        <f>VLOOKUP($B$52,'Tanks Information'!$A$2:$H$8,5,FALSE)</f>
        <v>4199</v>
      </c>
      <c r="C62" s="5" t="s">
        <v>52</v>
      </c>
      <c r="F62" s="40"/>
      <c r="G62" s="3"/>
      <c r="H62" s="108"/>
      <c r="I62" s="5"/>
      <c r="J62" s="3"/>
      <c r="K62" s="108"/>
      <c r="L62" s="5"/>
    </row>
    <row r="63" spans="1:12" x14ac:dyDescent="0.25">
      <c r="A63" s="4" t="s">
        <v>97</v>
      </c>
      <c r="B63" s="108">
        <f>VLOOKUP($B$52,'Tanks Information'!$A$2:$H$8,6,FALSE)</f>
        <v>133.14500000000001</v>
      </c>
      <c r="C63" s="5" t="s">
        <v>52</v>
      </c>
      <c r="F63" s="40"/>
      <c r="G63" s="3"/>
      <c r="H63" s="108"/>
      <c r="I63" s="5"/>
      <c r="J63" s="3"/>
      <c r="K63" s="108"/>
      <c r="L63" s="5"/>
    </row>
    <row r="64" spans="1:12" x14ac:dyDescent="0.25">
      <c r="A64" s="4" t="s">
        <v>33</v>
      </c>
      <c r="B64" s="108">
        <f>VLOOKUP($B$52,'Tanks Information'!$A$2:$H$8,7,FALSE)</f>
        <v>4332.1450000000004</v>
      </c>
      <c r="C64" s="5" t="s">
        <v>52</v>
      </c>
      <c r="F64" s="40"/>
      <c r="G64" s="3"/>
      <c r="H64" s="108"/>
      <c r="I64" s="5"/>
      <c r="J64" s="3"/>
      <c r="K64" s="108"/>
      <c r="L64" s="5"/>
    </row>
    <row r="65" spans="1:12" ht="16.5" x14ac:dyDescent="0.25">
      <c r="A65" s="4" t="s">
        <v>98</v>
      </c>
      <c r="B65" s="108">
        <f>VLOOKUP($B$52,'Tanks Information'!$A$2:$H$8,8,FALSE)</f>
        <v>1617</v>
      </c>
      <c r="C65" s="5" t="s">
        <v>159</v>
      </c>
      <c r="F65" s="40"/>
      <c r="G65" s="18"/>
      <c r="H65" s="189"/>
      <c r="I65" s="127"/>
      <c r="J65" s="18"/>
      <c r="K65" s="189"/>
      <c r="L65" s="127"/>
    </row>
    <row r="66" spans="1:12" thickBot="1" x14ac:dyDescent="0.35">
      <c r="A66" s="132" t="s">
        <v>29</v>
      </c>
      <c r="B66" s="195">
        <f>B59</f>
        <v>60.425427855576054</v>
      </c>
      <c r="C66" s="133" t="s">
        <v>52</v>
      </c>
      <c r="F66" s="40"/>
      <c r="G66" s="111" t="s">
        <v>90</v>
      </c>
      <c r="H66" s="180">
        <f>SUM(H52:H65)</f>
        <v>25.46</v>
      </c>
      <c r="I66" s="114" t="s">
        <v>91</v>
      </c>
      <c r="J66" s="129" t="s">
        <v>90</v>
      </c>
      <c r="K66" s="190">
        <f>SUM(K52:K65)</f>
        <v>14.395</v>
      </c>
      <c r="L66" s="187" t="s">
        <v>91</v>
      </c>
    </row>
    <row r="67" spans="1:12" ht="14.45" thickBot="1" x14ac:dyDescent="0.3">
      <c r="J67" s="36"/>
      <c r="K67" s="188"/>
      <c r="L67" s="36"/>
    </row>
    <row r="68" spans="1:12" ht="14.45" x14ac:dyDescent="0.3">
      <c r="A68" s="134" t="s">
        <v>23</v>
      </c>
      <c r="B68" s="179">
        <f>B62</f>
        <v>4199</v>
      </c>
      <c r="C68" s="135" t="s">
        <v>0</v>
      </c>
    </row>
    <row r="69" spans="1:12" thickBot="1" x14ac:dyDescent="0.35">
      <c r="A69" s="113" t="s">
        <v>18</v>
      </c>
      <c r="B69" s="180">
        <f>B63+N30+N48+K66</f>
        <v>305.2213307816304</v>
      </c>
      <c r="C69" s="114" t="s">
        <v>0</v>
      </c>
    </row>
    <row r="70" spans="1:12" thickBot="1" x14ac:dyDescent="0.35">
      <c r="A70" s="113" t="s">
        <v>33</v>
      </c>
      <c r="B70" s="180">
        <f>B68+B69</f>
        <v>4504.2213307816301</v>
      </c>
      <c r="C70" s="136" t="s">
        <v>0</v>
      </c>
    </row>
    <row r="71" spans="1:12" ht="14.45" x14ac:dyDescent="0.3">
      <c r="A71" s="129"/>
      <c r="B71" s="137"/>
      <c r="C71" s="129"/>
    </row>
    <row r="72" spans="1:12" s="1" customFormat="1" thickBot="1" x14ac:dyDescent="0.35">
      <c r="A72" s="222" t="s">
        <v>83</v>
      </c>
      <c r="B72" s="222"/>
      <c r="C72" s="222"/>
      <c r="E72" s="17"/>
      <c r="H72" s="17"/>
    </row>
    <row r="73" spans="1:12" s="1" customFormat="1" thickTop="1" x14ac:dyDescent="0.3">
      <c r="A73" s="39" t="s">
        <v>31</v>
      </c>
      <c r="B73" s="41">
        <f>N26+N44+B66</f>
        <v>137.42428851078964</v>
      </c>
      <c r="C73" s="38" t="s">
        <v>0</v>
      </c>
      <c r="D73" s="32"/>
      <c r="E73" s="17"/>
      <c r="H73" s="17"/>
    </row>
    <row r="74" spans="1:12" s="1" customFormat="1" thickBot="1" x14ac:dyDescent="0.35">
      <c r="A74" s="138" t="s">
        <v>32</v>
      </c>
      <c r="B74" s="177">
        <f>N46+N28+B59*B60</f>
        <v>13653.398846827724</v>
      </c>
      <c r="C74" s="139" t="s">
        <v>30</v>
      </c>
      <c r="D74" s="32"/>
      <c r="E74" s="17"/>
      <c r="H74" s="17"/>
    </row>
    <row r="75" spans="1:12" thickTop="1" x14ac:dyDescent="0.3">
      <c r="A75" s="19"/>
      <c r="B75" s="20"/>
      <c r="C75" s="18"/>
      <c r="D75" s="2"/>
    </row>
    <row r="76" spans="1:12" ht="14.45" x14ac:dyDescent="0.3">
      <c r="A76" s="19"/>
      <c r="B76" s="20"/>
      <c r="C76" s="18"/>
      <c r="D76" s="18"/>
      <c r="E76" s="20"/>
      <c r="F76" s="18"/>
    </row>
  </sheetData>
  <dataConsolidate/>
  <mergeCells count="14">
    <mergeCell ref="M1:O1"/>
    <mergeCell ref="A72:C72"/>
    <mergeCell ref="A51:C51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G51:I51"/>
    <mergeCell ref="J51:L51"/>
  </mergeCells>
  <conditionalFormatting sqref="M28:M29">
    <cfRule type="expression" dxfId="1" priority="2">
      <formula>#REF!=0</formula>
    </cfRule>
  </conditionalFormatting>
  <conditionalFormatting sqref="M45:M46">
    <cfRule type="expression" dxfId="0" priority="1">
      <formula>#REF!=0</formula>
    </cfRule>
  </conditionalFormatting>
  <dataValidations count="1">
    <dataValidation type="list" allowBlank="1" showInputMessage="1" showErrorMessage="1" sqref="B6" xr:uid="{8030D202-3CAA-410A-9A64-4D91A445236D}">
      <formula1>"C,D"</formula1>
    </dataValidation>
  </dataValidations>
  <pageMargins left="0.25" right="0.25" top="0" bottom="0" header="0" footer="0"/>
  <pageSetup paperSize="9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91512-4C5B-4203-837B-6816D67597B4}">
          <x14:formula1>
            <xm:f>'Tanks Information'!$A$2:$A$8</xm:f>
          </x14:formula1>
          <xm:sqref>B52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S26"/>
  <sheetViews>
    <sheetView showGridLines="0" zoomScaleNormal="100" workbookViewId="0">
      <selection activeCell="S6" sqref="S6"/>
    </sheetView>
  </sheetViews>
  <sheetFormatPr defaultColWidth="9.140625" defaultRowHeight="15" x14ac:dyDescent="0.25"/>
  <cols>
    <col min="1" max="1" width="19.42578125" style="38" bestFit="1" customWidth="1"/>
    <col min="2" max="2" width="8.42578125" style="38" bestFit="1" customWidth="1"/>
    <col min="3" max="3" width="7.42578125" style="38" bestFit="1" customWidth="1"/>
    <col min="4" max="4" width="8.7109375" style="63" customWidth="1"/>
    <col min="5" max="5" width="18.5703125" style="173" bestFit="1" customWidth="1"/>
    <col min="6" max="6" width="8.42578125" style="63" bestFit="1" customWidth="1"/>
    <col min="7" max="7" width="7.42578125" style="63" bestFit="1" customWidth="1"/>
    <col min="8" max="8" width="8.7109375" style="63" customWidth="1"/>
    <col min="9" max="9" width="9.140625" style="173"/>
    <col min="10" max="10" width="9.140625" style="63"/>
    <col min="11" max="11" width="7.42578125" style="63" bestFit="1" customWidth="1"/>
    <col min="12" max="12" width="11.42578125" style="63" customWidth="1"/>
    <col min="13" max="16384" width="9.140625" style="63"/>
  </cols>
  <sheetData>
    <row r="1" spans="1:19" ht="15.75" thickBot="1" x14ac:dyDescent="0.3">
      <c r="A1" s="226" t="s">
        <v>19</v>
      </c>
      <c r="B1" s="227"/>
      <c r="C1" s="227"/>
      <c r="D1" s="56"/>
      <c r="E1" s="226" t="s">
        <v>160</v>
      </c>
      <c r="F1" s="227"/>
      <c r="G1" s="228"/>
      <c r="H1" s="157"/>
      <c r="I1" s="241" t="s">
        <v>161</v>
      </c>
      <c r="J1" s="242"/>
      <c r="K1" s="243"/>
      <c r="L1" s="158"/>
      <c r="M1" s="226" t="s">
        <v>162</v>
      </c>
      <c r="N1" s="227"/>
      <c r="O1" s="227"/>
      <c r="P1" s="227"/>
      <c r="Q1" s="33" t="s">
        <v>163</v>
      </c>
      <c r="R1" s="159"/>
      <c r="S1" s="34" t="s">
        <v>164</v>
      </c>
    </row>
    <row r="2" spans="1:19" ht="15" customHeight="1" thickBot="1" x14ac:dyDescent="0.3">
      <c r="A2" s="39" t="s">
        <v>120</v>
      </c>
      <c r="B2" s="64">
        <v>56</v>
      </c>
      <c r="C2" s="38" t="s">
        <v>2</v>
      </c>
      <c r="D2" s="56"/>
      <c r="E2" s="173" t="s">
        <v>165</v>
      </c>
      <c r="F2" s="38">
        <v>15</v>
      </c>
      <c r="G2" s="40" t="s">
        <v>15</v>
      </c>
      <c r="H2" s="38"/>
      <c r="I2" s="185" t="s">
        <v>161</v>
      </c>
      <c r="J2" s="38">
        <v>0</v>
      </c>
      <c r="K2" s="38" t="s">
        <v>0</v>
      </c>
      <c r="L2" s="158"/>
      <c r="M2" s="160" t="s">
        <v>166</v>
      </c>
      <c r="Q2" s="41">
        <f>'Wind and Seismic'!B70</f>
        <v>4504.2213307816301</v>
      </c>
      <c r="R2" s="41"/>
      <c r="S2" s="40">
        <v>0</v>
      </c>
    </row>
    <row r="3" spans="1:19" ht="15" customHeight="1" x14ac:dyDescent="0.25">
      <c r="A3" s="39" t="s">
        <v>127</v>
      </c>
      <c r="B3" s="64">
        <v>9.52</v>
      </c>
      <c r="C3" s="40"/>
      <c r="D3" s="38"/>
      <c r="E3" s="182" t="s">
        <v>121</v>
      </c>
      <c r="F3" s="161">
        <f>B4</f>
        <v>1674.8458754817905</v>
      </c>
      <c r="G3" s="162" t="s">
        <v>167</v>
      </c>
      <c r="H3" s="163"/>
      <c r="I3" s="186"/>
      <c r="J3" s="164"/>
      <c r="K3" s="164"/>
      <c r="M3" s="160" t="s">
        <v>168</v>
      </c>
      <c r="Q3" s="41">
        <f>'Wind and Seismic'!B70+J2</f>
        <v>4504.2213307816301</v>
      </c>
      <c r="R3" s="41"/>
      <c r="S3" s="40">
        <v>0</v>
      </c>
    </row>
    <row r="4" spans="1:19" ht="15" customHeight="1" thickBot="1" x14ac:dyDescent="0.3">
      <c r="A4" s="39" t="s">
        <v>121</v>
      </c>
      <c r="B4" s="41">
        <f>PI()*B2*B3</f>
        <v>1674.8458754817905</v>
      </c>
      <c r="C4" s="40" t="s">
        <v>131</v>
      </c>
      <c r="D4" s="38"/>
      <c r="E4" s="183" t="s">
        <v>160</v>
      </c>
      <c r="F4" s="50">
        <f>F2*F3/1000</f>
        <v>25.122688132226855</v>
      </c>
      <c r="G4" s="49" t="s">
        <v>0</v>
      </c>
      <c r="H4" s="38"/>
      <c r="J4" s="38"/>
      <c r="K4" s="38"/>
      <c r="M4" s="160" t="s">
        <v>169</v>
      </c>
      <c r="Q4" s="41">
        <f>'Wind and Seismic'!B70+(MAX(B11,F4))</f>
        <v>4542.2068352375572</v>
      </c>
      <c r="R4" s="41"/>
      <c r="S4" s="40">
        <v>0</v>
      </c>
    </row>
    <row r="5" spans="1:19" ht="15" customHeight="1" x14ac:dyDescent="0.25">
      <c r="A5" s="39" t="s">
        <v>126</v>
      </c>
      <c r="B5" s="38">
        <v>25</v>
      </c>
      <c r="C5" s="40" t="s">
        <v>15</v>
      </c>
      <c r="D5" s="38"/>
      <c r="E5" s="184"/>
      <c r="G5" s="165"/>
      <c r="M5" s="160" t="s">
        <v>170</v>
      </c>
      <c r="Q5" s="41">
        <f>'Wind and Seismic'!B70+0.75*J2+0.75*(MAX(B11,F4))</f>
        <v>4532.7104591235757</v>
      </c>
      <c r="R5" s="41"/>
      <c r="S5" s="40">
        <v>0</v>
      </c>
    </row>
    <row r="6" spans="1:19" ht="15" customHeight="1" x14ac:dyDescent="0.25">
      <c r="A6" s="38" t="s">
        <v>123</v>
      </c>
      <c r="B6" s="38" t="s">
        <v>12</v>
      </c>
      <c r="C6" s="40"/>
      <c r="D6" s="38"/>
      <c r="M6" s="160" t="s">
        <v>171</v>
      </c>
      <c r="Q6" s="41">
        <f>'Wind and Seismic'!B70</f>
        <v>4504.2213307816301</v>
      </c>
      <c r="R6" s="41"/>
      <c r="S6" s="43">
        <f>0.6*(MAX('Wind and Seismic'!B74,'Wind and Seismic'!N16))</f>
        <v>8192.0393080966332</v>
      </c>
    </row>
    <row r="7" spans="1:19" ht="15" customHeight="1" x14ac:dyDescent="0.35">
      <c r="A7" s="65" t="s">
        <v>132</v>
      </c>
      <c r="B7" s="38">
        <f>IF(B6="C",0.9,0.8)</f>
        <v>0.9</v>
      </c>
      <c r="C7" s="40"/>
      <c r="D7" s="38"/>
      <c r="M7" s="160" t="s">
        <v>172</v>
      </c>
      <c r="Q7" s="41">
        <f>'Wind and Seismic'!B70+(0.75*J2)+(0.75*(MAX(B11,F4)))</f>
        <v>4532.7104591235757</v>
      </c>
      <c r="R7" s="41"/>
      <c r="S7" s="43">
        <f>0.45*(MAX('Wind and Seismic'!B74,'Wind and Seismic'!N16))</f>
        <v>6144.0294810724763</v>
      </c>
    </row>
    <row r="8" spans="1:19" ht="15" customHeight="1" x14ac:dyDescent="0.35">
      <c r="A8" s="65" t="s">
        <v>133</v>
      </c>
      <c r="B8" s="38">
        <v>1.2</v>
      </c>
      <c r="C8" s="40"/>
      <c r="D8" s="38"/>
      <c r="M8" s="160" t="s">
        <v>173</v>
      </c>
      <c r="Q8" s="41">
        <f>0.6*'Wind and Seismic'!B70</f>
        <v>2702.5327984689779</v>
      </c>
      <c r="R8" s="38"/>
      <c r="S8" s="43">
        <f>0.6*(MAX('Wind and Seismic'!B74,'Wind and Seismic'!N16))</f>
        <v>8192.0393080966332</v>
      </c>
    </row>
    <row r="9" spans="1:19" ht="15" customHeight="1" x14ac:dyDescent="0.25">
      <c r="A9" s="38" t="s">
        <v>125</v>
      </c>
      <c r="B9" s="38" t="s">
        <v>124</v>
      </c>
      <c r="C9" s="40"/>
      <c r="D9" s="38"/>
      <c r="M9" s="160"/>
      <c r="R9" s="38"/>
      <c r="S9" s="40"/>
    </row>
    <row r="10" spans="1:19" ht="15" customHeight="1" x14ac:dyDescent="0.35">
      <c r="A10" s="65" t="s">
        <v>134</v>
      </c>
      <c r="B10" s="38">
        <f>IF(B9="RC II",1,IF(B9="RC III",1.1,1.2))</f>
        <v>1.2</v>
      </c>
      <c r="C10" s="40"/>
      <c r="M10" s="160"/>
      <c r="R10" s="38"/>
      <c r="S10" s="40"/>
    </row>
    <row r="11" spans="1:19" ht="15" customHeight="1" thickBot="1" x14ac:dyDescent="0.3">
      <c r="A11" s="47" t="s">
        <v>20</v>
      </c>
      <c r="B11" s="50">
        <f>0.7*B4*B5*B7*B8*B10/1000</f>
        <v>37.985504455927007</v>
      </c>
      <c r="C11" s="49" t="s">
        <v>0</v>
      </c>
      <c r="M11" s="244"/>
      <c r="N11" s="245"/>
      <c r="O11" s="245"/>
      <c r="P11" s="245"/>
      <c r="Q11" s="245"/>
      <c r="R11" s="166"/>
      <c r="S11" s="167"/>
    </row>
    <row r="12" spans="1:19" x14ac:dyDescent="0.25">
      <c r="D12" s="38"/>
    </row>
    <row r="13" spans="1:19" x14ac:dyDescent="0.25">
      <c r="D13" s="38"/>
    </row>
    <row r="14" spans="1:19" x14ac:dyDescent="0.25">
      <c r="A14" s="238" t="s">
        <v>173</v>
      </c>
      <c r="B14" s="239"/>
      <c r="C14" s="239"/>
      <c r="E14" s="239" t="s">
        <v>172</v>
      </c>
      <c r="F14" s="239"/>
      <c r="G14" s="239"/>
      <c r="I14" s="239" t="s">
        <v>171</v>
      </c>
      <c r="J14" s="239"/>
      <c r="K14" s="239"/>
      <c r="L14" s="239"/>
    </row>
    <row r="15" spans="1:19" x14ac:dyDescent="0.25">
      <c r="A15" s="168">
        <f>Q8</f>
        <v>2702.5327984689779</v>
      </c>
      <c r="B15" s="168" t="s">
        <v>0</v>
      </c>
      <c r="C15" s="169"/>
      <c r="E15" s="168">
        <f>Q7</f>
        <v>4532.7104591235757</v>
      </c>
      <c r="F15" s="168" t="s">
        <v>0</v>
      </c>
      <c r="G15" s="170"/>
      <c r="I15" s="240">
        <f>Q6</f>
        <v>4504.2213307816301</v>
      </c>
      <c r="J15" s="240"/>
      <c r="K15" s="168" t="s">
        <v>0</v>
      </c>
      <c r="L15" s="170"/>
    </row>
    <row r="16" spans="1:19" x14ac:dyDescent="0.25">
      <c r="A16" s="168">
        <f>S8</f>
        <v>8192.0393080966332</v>
      </c>
      <c r="B16" s="168" t="s">
        <v>174</v>
      </c>
      <c r="C16" s="169"/>
      <c r="D16" s="171"/>
      <c r="E16" s="168">
        <f>S7</f>
        <v>6144.0294810724763</v>
      </c>
      <c r="F16" s="168" t="s">
        <v>174</v>
      </c>
      <c r="G16" s="170"/>
      <c r="I16" s="240">
        <f>S6</f>
        <v>8192.0393080966332</v>
      </c>
      <c r="J16" s="240"/>
      <c r="K16" s="168" t="s">
        <v>174</v>
      </c>
      <c r="L16" s="170"/>
    </row>
    <row r="17" spans="1:12" x14ac:dyDescent="0.25">
      <c r="A17" s="63" t="s">
        <v>175</v>
      </c>
      <c r="B17" s="38" t="s">
        <v>176</v>
      </c>
      <c r="C17" s="172" t="s">
        <v>76</v>
      </c>
      <c r="E17" s="173" t="s">
        <v>175</v>
      </c>
      <c r="F17" s="63" t="s">
        <v>176</v>
      </c>
      <c r="G17" s="172" t="s">
        <v>76</v>
      </c>
      <c r="H17" s="38"/>
      <c r="I17" s="173" t="s">
        <v>175</v>
      </c>
      <c r="K17" s="63" t="s">
        <v>176</v>
      </c>
      <c r="L17" s="172" t="s">
        <v>76</v>
      </c>
    </row>
    <row r="18" spans="1:12" x14ac:dyDescent="0.25">
      <c r="A18" s="174" t="e" cm="1">
        <f t="array" ref="A18:A26">Q8/'Design Table'!$D$4:$D$12</f>
        <v>#DIV/0!</v>
      </c>
      <c r="B18" s="41" t="e" cm="1">
        <f t="array" ref="B18:B26">S8*12/'Design Table'!$F$4:$F$12</f>
        <v>#DIV/0!</v>
      </c>
      <c r="C18" s="175" t="e" cm="1">
        <f t="array" ref="C18:C26">(A18:A26/'Design Table'!$M$22:$M$30)+(B18:B26/'Design Table'!$N$22:$N$30)</f>
        <v>#DIV/0!</v>
      </c>
      <c r="D18" s="41"/>
      <c r="E18" s="174" t="e" cm="1">
        <f t="array" ref="E18:E26">Q7/'Design Table'!$D$4:$D$12</f>
        <v>#DIV/0!</v>
      </c>
      <c r="F18" s="41" t="e" cm="1">
        <f t="array" ref="F18:F26">S7*12/'Design Table'!$F$4:$F$12</f>
        <v>#DIV/0!</v>
      </c>
      <c r="G18" s="175" t="e" cm="1">
        <f t="array" ref="G18:G26">(E18:E26/'Design Table'!$M$22:$M$30)+(F18:F26/'Design Table'!$N$22:$N$30)</f>
        <v>#DIV/0!</v>
      </c>
      <c r="H18" s="41"/>
      <c r="I18" s="174" t="e" cm="1">
        <f t="array" ref="I18:I26">Q6/'Design Table'!$D$4:$D$12</f>
        <v>#DIV/0!</v>
      </c>
      <c r="J18" s="174"/>
      <c r="K18" s="41" t="e" cm="1">
        <f t="array" ref="K18:K26">S6*12/'Design Table'!$F$4:$F$12</f>
        <v>#DIV/0!</v>
      </c>
      <c r="L18" s="175" t="e" cm="1">
        <f t="array" ref="L18:L26">(I18:I26/'Design Table'!$M$22:$M$30)+(K18:K26/'Design Table'!$N$22:$N$30)</f>
        <v>#DIV/0!</v>
      </c>
    </row>
    <row r="19" spans="1:12" x14ac:dyDescent="0.25">
      <c r="A19" s="174">
        <v>77.433960730340075</v>
      </c>
      <c r="B19" s="41">
        <v>385.06027831686026</v>
      </c>
      <c r="C19" s="175">
        <v>26.128941467854968</v>
      </c>
      <c r="D19" s="41"/>
      <c r="E19" s="174">
        <v>129.8728821691322</v>
      </c>
      <c r="F19" s="41">
        <v>288.79520873764523</v>
      </c>
      <c r="G19" s="175">
        <v>23.988617196113463</v>
      </c>
      <c r="H19" s="41"/>
      <c r="I19" s="174">
        <v>129.05660121723346</v>
      </c>
      <c r="J19" s="174"/>
      <c r="K19" s="41">
        <v>385.06027831686026</v>
      </c>
      <c r="L19" s="175">
        <v>29.286743990244936</v>
      </c>
    </row>
    <row r="20" spans="1:12" x14ac:dyDescent="0.25">
      <c r="A20" s="174">
        <v>77.433960730340075</v>
      </c>
      <c r="B20" s="41">
        <v>385.06027831686026</v>
      </c>
      <c r="C20" s="175">
        <v>26.056945906441722</v>
      </c>
      <c r="D20" s="41"/>
      <c r="E20" s="174">
        <v>129.8728821691322</v>
      </c>
      <c r="F20" s="41">
        <v>288.79520873764523</v>
      </c>
      <c r="G20" s="175">
        <v>23.86786564245492</v>
      </c>
      <c r="H20" s="41"/>
      <c r="I20" s="174">
        <v>129.05660121723346</v>
      </c>
      <c r="J20" s="174"/>
      <c r="K20" s="41">
        <v>385.06027831686026</v>
      </c>
      <c r="L20" s="175">
        <v>29.166751387889526</v>
      </c>
    </row>
    <row r="21" spans="1:12" x14ac:dyDescent="0.25">
      <c r="A21" s="174">
        <v>77.433960730340075</v>
      </c>
      <c r="B21" s="41">
        <v>385.06027831686026</v>
      </c>
      <c r="C21" s="175">
        <v>26.056945906441722</v>
      </c>
      <c r="D21" s="41"/>
      <c r="E21" s="174">
        <v>129.8728821691322</v>
      </c>
      <c r="F21" s="41">
        <v>288.79520873764523</v>
      </c>
      <c r="G21" s="175">
        <v>23.86786564245492</v>
      </c>
      <c r="H21" s="41"/>
      <c r="I21" s="174">
        <v>129.05660121723346</v>
      </c>
      <c r="J21" s="174"/>
      <c r="K21" s="41">
        <v>385.06027831686026</v>
      </c>
      <c r="L21" s="175">
        <v>29.166751387889526</v>
      </c>
    </row>
    <row r="22" spans="1:12" x14ac:dyDescent="0.25">
      <c r="A22" s="174" t="e">
        <v>#DIV/0!</v>
      </c>
      <c r="B22" s="41" t="e">
        <v>#DIV/0!</v>
      </c>
      <c r="C22" s="175" t="e">
        <v>#DIV/0!</v>
      </c>
      <c r="D22" s="41"/>
      <c r="E22" s="174" t="e">
        <v>#DIV/0!</v>
      </c>
      <c r="F22" s="41" t="e">
        <v>#DIV/0!</v>
      </c>
      <c r="G22" s="175" t="e">
        <v>#DIV/0!</v>
      </c>
      <c r="H22" s="41"/>
      <c r="I22" s="174" t="e">
        <v>#DIV/0!</v>
      </c>
      <c r="J22" s="174"/>
      <c r="K22" s="41" t="e">
        <v>#DIV/0!</v>
      </c>
      <c r="L22" s="175" t="e">
        <v>#DIV/0!</v>
      </c>
    </row>
    <row r="23" spans="1:12" x14ac:dyDescent="0.25">
      <c r="A23" s="174" t="e">
        <v>#DIV/0!</v>
      </c>
      <c r="B23" s="41" t="e">
        <v>#DIV/0!</v>
      </c>
      <c r="C23" s="175" t="e">
        <v>#DIV/0!</v>
      </c>
      <c r="D23" s="41"/>
      <c r="E23" s="174" t="e">
        <v>#DIV/0!</v>
      </c>
      <c r="F23" s="41" t="e">
        <v>#DIV/0!</v>
      </c>
      <c r="G23" s="175" t="e">
        <v>#DIV/0!</v>
      </c>
      <c r="H23" s="41"/>
      <c r="I23" s="174" t="e">
        <v>#DIV/0!</v>
      </c>
      <c r="J23" s="174"/>
      <c r="K23" s="41" t="e">
        <v>#DIV/0!</v>
      </c>
      <c r="L23" s="175" t="e">
        <v>#DIV/0!</v>
      </c>
    </row>
    <row r="24" spans="1:12" x14ac:dyDescent="0.25">
      <c r="A24" s="174">
        <v>29.053058617029965</v>
      </c>
      <c r="B24" s="41">
        <v>90.390203282142721</v>
      </c>
      <c r="C24" s="175">
        <v>6.6357367721762603</v>
      </c>
      <c r="D24" s="41"/>
      <c r="E24" s="174">
        <v>48.728031251848542</v>
      </c>
      <c r="F24" s="41">
        <v>67.792652461607048</v>
      </c>
      <c r="G24" s="175">
        <v>6.4733713174142</v>
      </c>
      <c r="H24" s="41"/>
      <c r="I24" s="174">
        <v>48.421764361716612</v>
      </c>
      <c r="J24" s="174"/>
      <c r="K24" s="41">
        <v>90.390203282142721</v>
      </c>
      <c r="L24" s="175">
        <v>7.7117759802144068</v>
      </c>
    </row>
    <row r="25" spans="1:12" x14ac:dyDescent="0.25">
      <c r="A25" s="174">
        <v>29.053058617029965</v>
      </c>
      <c r="B25" s="41">
        <v>90.390203282142721</v>
      </c>
      <c r="C25" s="175">
        <v>6.6863674882597142</v>
      </c>
      <c r="D25" s="41"/>
      <c r="E25" s="174">
        <v>48.728031251848542</v>
      </c>
      <c r="F25" s="41">
        <v>67.792652461607048</v>
      </c>
      <c r="G25" s="175">
        <v>6.5582895750110719</v>
      </c>
      <c r="H25" s="41"/>
      <c r="I25" s="174">
        <v>48.421764361716612</v>
      </c>
      <c r="J25" s="174"/>
      <c r="K25" s="41">
        <v>90.390203282142721</v>
      </c>
      <c r="L25" s="175">
        <v>7.7961605070201632</v>
      </c>
    </row>
    <row r="26" spans="1:12" x14ac:dyDescent="0.25">
      <c r="A26" s="174">
        <v>29.053058617029965</v>
      </c>
      <c r="B26" s="41">
        <v>90.390203282142721</v>
      </c>
      <c r="C26" s="175">
        <v>6.6863674882597142</v>
      </c>
      <c r="D26" s="41"/>
      <c r="E26" s="174">
        <v>48.728031251848542</v>
      </c>
      <c r="F26" s="41">
        <v>67.792652461607048</v>
      </c>
      <c r="G26" s="175">
        <v>6.5582895750110719</v>
      </c>
      <c r="H26" s="41"/>
      <c r="I26" s="174">
        <v>48.421764361716612</v>
      </c>
      <c r="J26" s="174"/>
      <c r="K26" s="41">
        <v>90.390203282142721</v>
      </c>
      <c r="L26" s="175">
        <v>7.7961605070201632</v>
      </c>
    </row>
  </sheetData>
  <mergeCells count="10">
    <mergeCell ref="A1:C1"/>
    <mergeCell ref="E1:G1"/>
    <mergeCell ref="I1:K1"/>
    <mergeCell ref="M1:P1"/>
    <mergeCell ref="M11:Q11"/>
    <mergeCell ref="A14:C14"/>
    <mergeCell ref="E14:G14"/>
    <mergeCell ref="I14:L14"/>
    <mergeCell ref="I15:J15"/>
    <mergeCell ref="I16:J16"/>
  </mergeCells>
  <dataValidations disablePrompts="1" count="2">
    <dataValidation type="list" allowBlank="1" showInputMessage="1" showErrorMessage="1" sqref="B6" xr:uid="{0BC1ABF6-8DED-436A-8BD3-46869692B7DD}">
      <formula1>"C,D"</formula1>
    </dataValidation>
    <dataValidation type="list" allowBlank="1" showInputMessage="1" showErrorMessage="1" sqref="L12 B9" xr:uid="{51B9F09F-26BE-46BE-BDD0-C7549D102330}">
      <formula1>"RC II,RC III,RC IV"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X42"/>
  <sheetViews>
    <sheetView zoomScale="90" zoomScaleNormal="90" workbookViewId="0">
      <selection activeCell="P18" sqref="P18"/>
    </sheetView>
  </sheetViews>
  <sheetFormatPr defaultColWidth="9.140625" defaultRowHeight="15" x14ac:dyDescent="0.25"/>
  <cols>
    <col min="1" max="1" width="9.42578125" style="38" bestFit="1" customWidth="1"/>
    <col min="2" max="2" width="12.140625" style="38" bestFit="1" customWidth="1"/>
    <col min="3" max="3" width="13.140625" style="38" bestFit="1" customWidth="1"/>
    <col min="4" max="4" width="6.42578125" style="38" bestFit="1" customWidth="1"/>
    <col min="5" max="6" width="9.28515625" style="38" bestFit="1" customWidth="1"/>
    <col min="7" max="8" width="7.7109375" style="38" customWidth="1"/>
    <col min="9" max="9" width="9.7109375" style="38" customWidth="1"/>
    <col min="10" max="10" width="8.28515625" style="38" bestFit="1" customWidth="1"/>
    <col min="11" max="11" width="7.7109375" style="38" customWidth="1"/>
    <col min="12" max="12" width="9.7109375" style="38" customWidth="1"/>
    <col min="13" max="14" width="6" style="38" bestFit="1" customWidth="1"/>
    <col min="15" max="15" width="13.85546875" style="38" bestFit="1" customWidth="1"/>
    <col min="16" max="16" width="13.28515625" style="38" bestFit="1" customWidth="1"/>
    <col min="17" max="17" width="10.42578125" style="38" bestFit="1" customWidth="1"/>
    <col min="18" max="18" width="7.28515625" style="38" bestFit="1" customWidth="1"/>
    <col min="19" max="19" width="8.28515625" style="38" bestFit="1" customWidth="1"/>
    <col min="20" max="20" width="7.28515625" style="38" bestFit="1" customWidth="1"/>
    <col min="21" max="21" width="8.140625" style="38" bestFit="1" customWidth="1"/>
    <col min="22" max="22" width="8.28515625" style="38" bestFit="1" customWidth="1"/>
    <col min="23" max="23" width="13.85546875" style="38" bestFit="1" customWidth="1"/>
    <col min="24" max="24" width="11.5703125" style="38" bestFit="1" customWidth="1"/>
    <col min="25" max="16384" width="9.140625" style="38"/>
  </cols>
  <sheetData>
    <row r="1" spans="1:24" ht="15.75" thickBot="1" x14ac:dyDescent="0.3">
      <c r="A1" s="35"/>
      <c r="B1" s="36"/>
      <c r="C1" s="36"/>
      <c r="D1" s="36"/>
      <c r="E1" s="36"/>
      <c r="F1" s="37"/>
      <c r="G1" s="249" t="s">
        <v>182</v>
      </c>
      <c r="H1" s="250"/>
      <c r="I1" s="251"/>
      <c r="J1" s="249" t="s">
        <v>183</v>
      </c>
      <c r="K1" s="250"/>
      <c r="L1" s="251"/>
      <c r="M1" s="246" t="s">
        <v>77</v>
      </c>
      <c r="N1" s="247"/>
      <c r="O1" s="247"/>
      <c r="P1" s="247"/>
      <c r="Q1" s="247"/>
      <c r="R1" s="247"/>
      <c r="S1" s="248"/>
      <c r="T1" s="249" t="s">
        <v>181</v>
      </c>
      <c r="U1" s="250"/>
      <c r="V1" s="250"/>
      <c r="W1" s="250"/>
      <c r="X1" s="251"/>
    </row>
    <row r="2" spans="1:24" ht="18.75" x14ac:dyDescent="0.35">
      <c r="A2" s="8" t="s">
        <v>58</v>
      </c>
      <c r="B2" s="9" t="s">
        <v>59</v>
      </c>
      <c r="C2" s="9" t="s">
        <v>60</v>
      </c>
      <c r="D2" s="9" t="s">
        <v>63</v>
      </c>
      <c r="E2" s="9" t="s">
        <v>64</v>
      </c>
      <c r="F2" s="10" t="s">
        <v>65</v>
      </c>
      <c r="G2" s="11" t="s">
        <v>66</v>
      </c>
      <c r="H2" s="12" t="s">
        <v>67</v>
      </c>
      <c r="I2" s="13" t="s">
        <v>68</v>
      </c>
      <c r="J2" s="11" t="s">
        <v>66</v>
      </c>
      <c r="K2" s="12" t="s">
        <v>67</v>
      </c>
      <c r="L2" s="13" t="s">
        <v>68</v>
      </c>
      <c r="M2" s="11" t="s">
        <v>78</v>
      </c>
      <c r="N2" s="12" t="s">
        <v>129</v>
      </c>
      <c r="O2" s="12" t="s">
        <v>184</v>
      </c>
      <c r="P2" s="12" t="s">
        <v>186</v>
      </c>
      <c r="Q2" s="12" t="s">
        <v>187</v>
      </c>
      <c r="R2" s="12" t="s">
        <v>81</v>
      </c>
      <c r="S2" s="13" t="s">
        <v>79</v>
      </c>
      <c r="T2" s="216" t="s">
        <v>185</v>
      </c>
      <c r="U2" s="216" t="s">
        <v>4</v>
      </c>
      <c r="V2" s="216" t="s">
        <v>48</v>
      </c>
      <c r="W2" s="216" t="s">
        <v>184</v>
      </c>
      <c r="X2" s="218" t="s">
        <v>189</v>
      </c>
    </row>
    <row r="3" spans="1:24" x14ac:dyDescent="0.25">
      <c r="A3" s="39" t="s">
        <v>61</v>
      </c>
      <c r="B3" s="38">
        <v>0</v>
      </c>
      <c r="C3" s="38">
        <v>0</v>
      </c>
      <c r="D3" s="38" t="s">
        <v>62</v>
      </c>
      <c r="E3" s="38" t="s">
        <v>62</v>
      </c>
      <c r="F3" s="40" t="s">
        <v>62</v>
      </c>
      <c r="G3" s="215">
        <f>'Wind and Seismic'!B68</f>
        <v>4199</v>
      </c>
      <c r="H3" s="41">
        <v>0</v>
      </c>
      <c r="I3" s="43">
        <f>'Wind and Seismic'!B63</f>
        <v>133.14500000000001</v>
      </c>
      <c r="J3" s="39" cm="1">
        <f t="array" ref="J3:L3">G3:I3</f>
        <v>4199</v>
      </c>
      <c r="K3" s="41">
        <v>0</v>
      </c>
      <c r="L3" s="43">
        <v>133.14500000000001</v>
      </c>
      <c r="M3" s="42">
        <f>0.6*('Wind and Seismic'!B59)</f>
        <v>36.255256713345631</v>
      </c>
      <c r="N3" s="41">
        <f>M3</f>
        <v>36.255256713345631</v>
      </c>
      <c r="O3" s="41">
        <f>'Wind and Seismic'!B53</f>
        <v>121.6253</v>
      </c>
      <c r="P3" s="41">
        <f>'Wind and Seismic'!B60</f>
        <v>136.62529999999998</v>
      </c>
      <c r="Q3" s="41">
        <f>P3-O3</f>
        <v>14.999999999999986</v>
      </c>
      <c r="R3" s="41">
        <f>M3*(Q3)</f>
        <v>543.82885070018392</v>
      </c>
      <c r="S3" s="43">
        <f>R3</f>
        <v>543.82885070018392</v>
      </c>
      <c r="T3" s="42">
        <f>0.6*('Wind and Seismic'!$N$15)</f>
        <v>41.419718119330561</v>
      </c>
      <c r="U3" s="41">
        <f>'Wind and Seismic'!B64</f>
        <v>4332.1450000000004</v>
      </c>
      <c r="V3" s="41">
        <f>'Wind and Seismic'!B60</f>
        <v>136.62529999999998</v>
      </c>
      <c r="W3" s="41" cm="1">
        <f t="array" ref="W3:W12">O3:O12</f>
        <v>121.6253</v>
      </c>
      <c r="X3" s="43"/>
    </row>
    <row r="4" spans="1:24" x14ac:dyDescent="0.25">
      <c r="A4" s="39" t="s">
        <v>106</v>
      </c>
      <c r="B4" s="38">
        <f>('Wind and Seismic'!K19)*12</f>
        <v>0</v>
      </c>
      <c r="C4" s="44">
        <f>'Wind and Seismic'!K15</f>
        <v>0</v>
      </c>
      <c r="D4" s="41">
        <f>PI()/4*(B4^2-(B4-C4*2)^2)</f>
        <v>0</v>
      </c>
      <c r="E4" s="41">
        <f>PI()/64*(B4^4-(B4-C4*2)^4)</f>
        <v>0</v>
      </c>
      <c r="F4" s="43">
        <f>IF(B4=0,0,E4/(B4/2))</f>
        <v>0</v>
      </c>
      <c r="G4" s="42">
        <v>0</v>
      </c>
      <c r="H4" s="41">
        <f>IF(C4=0,0,(D4/(('Wind and Seismic'!E5*D7)+D12)*H3))</f>
        <v>0</v>
      </c>
      <c r="I4" s="43">
        <f>'Wind and Seismic'!K30/'Wind and Seismic'!$E$5</f>
        <v>0</v>
      </c>
      <c r="J4" s="42">
        <f>IF(C4=0,0,((D4/('Wind and Seismic'!$E$5*$D$7+$D$12))*J3)+G3)</f>
        <v>0</v>
      </c>
      <c r="K4" s="41">
        <f>(K3+H4)/'Wind and Seismic'!$E$5</f>
        <v>0</v>
      </c>
      <c r="L4" s="43">
        <f>(L3/'Wind and Seismic'!$E$5)+I4</f>
        <v>22.190833333333334</v>
      </c>
      <c r="M4" s="42">
        <f>0.6*('Wind and Seismic'!K26/'Wind and Seismic'!$E$5)</f>
        <v>0</v>
      </c>
      <c r="N4" s="41">
        <f>N3*(D7/(('Wind and Seismic'!$E$5*D7)+D12))+M4</f>
        <v>4.1839778482695573</v>
      </c>
      <c r="O4" s="41">
        <f>'Wind and Seismic'!K16</f>
        <v>0</v>
      </c>
      <c r="P4" s="41">
        <f>'Wind and Seismic'!K27</f>
        <v>0</v>
      </c>
      <c r="Q4" s="41">
        <f t="shared" ref="Q4:Q11" si="0">P4-O4</f>
        <v>0</v>
      </c>
      <c r="R4" s="41">
        <f>M4*(Q4)</f>
        <v>0</v>
      </c>
      <c r="S4" s="43">
        <f>IF(M4=0,0,R4+M3*(P3-O4))</f>
        <v>0</v>
      </c>
      <c r="T4" s="42">
        <f>0.6*('Wind and Seismic'!$N$15)</f>
        <v>41.419718119330561</v>
      </c>
      <c r="U4" s="41">
        <f>'Wind and Seismic'!K30/'Wind and Seismic'!$E$5</f>
        <v>0</v>
      </c>
      <c r="V4" s="38">
        <f>'Wind and Seismic'!K21</f>
        <v>0</v>
      </c>
      <c r="W4" s="41">
        <v>0</v>
      </c>
      <c r="X4" s="43"/>
    </row>
    <row r="5" spans="1:24" x14ac:dyDescent="0.25">
      <c r="A5" s="39" t="s">
        <v>105</v>
      </c>
      <c r="B5" s="38">
        <f>('Wind and Seismic'!H19)*12</f>
        <v>30</v>
      </c>
      <c r="C5" s="45">
        <f>'Wind and Seismic'!H15</f>
        <v>0.375</v>
      </c>
      <c r="D5" s="41">
        <f t="shared" ref="D5:D12" si="1">PI()/4*(B5^2-(B5-C5*2)^2)</f>
        <v>34.901130885974105</v>
      </c>
      <c r="E5" s="41">
        <f t="shared" ref="E5:E12" si="2">PI()/64*(B5^4-(B5-C5*2)^4)</f>
        <v>3829.4447869379951</v>
      </c>
      <c r="F5" s="43">
        <f>IF(B5=0,0,E5/(B5/2))</f>
        <v>255.29631912919967</v>
      </c>
      <c r="G5" s="42">
        <f>G4</f>
        <v>0</v>
      </c>
      <c r="H5" s="41">
        <f>IF(C5=0,0,(D5/(('Wind and Seismic'!E5*D7)+D12)*H3))</f>
        <v>0</v>
      </c>
      <c r="I5" s="43">
        <f>'Wind and Seismic'!H30/'Wind and Seismic'!$E$5</f>
        <v>7.1753888126844947</v>
      </c>
      <c r="J5" s="42">
        <f>IF(C5=0,0,((D5/('Wind and Seismic'!$E$5*$D$7+$D$12))*J3)+G4)</f>
        <v>484.5786398311962</v>
      </c>
      <c r="K5" s="41">
        <f t="shared" ref="K5:L12" si="3">K4+H5</f>
        <v>0</v>
      </c>
      <c r="L5" s="43">
        <f t="shared" si="3"/>
        <v>29.366222146017829</v>
      </c>
      <c r="M5" s="42">
        <f>0.6*('Wind and Seismic'!H26/'Wind and Seismic'!$E$5)</f>
        <v>2.5119495855508336</v>
      </c>
      <c r="N5" s="41">
        <f t="shared" ref="N5:N12" si="4">N4+M5</f>
        <v>6.6959274338203905</v>
      </c>
      <c r="O5" s="41">
        <f>'Wind and Seismic'!H16</f>
        <v>86.827799999999996</v>
      </c>
      <c r="P5" s="41">
        <f>'Wind and Seismic'!H27</f>
        <v>110.76848495076932</v>
      </c>
      <c r="Q5" s="41">
        <f t="shared" si="0"/>
        <v>23.940684950769324</v>
      </c>
      <c r="R5" s="41">
        <f>M5*(Q5)</f>
        <v>60.137793639888081</v>
      </c>
      <c r="S5" s="43">
        <f>R5+(M3*(D7/(('Wind and Seismic'!$E$5*D7)+D12)))*(P3-O5)+M4*(P4-O5)</f>
        <v>268.4894305390913</v>
      </c>
      <c r="T5" s="42">
        <f>0.6*('Wind and Seismic'!$N$15)</f>
        <v>41.419718119330561</v>
      </c>
      <c r="U5" s="41">
        <f>'Wind and Seismic'!H30/'Wind and Seismic'!$E$5</f>
        <v>7.1753888126844947</v>
      </c>
      <c r="V5" s="41">
        <f>'Wind and Seismic'!H21</f>
        <v>110.40975</v>
      </c>
      <c r="W5" s="41">
        <v>86.827799999999996</v>
      </c>
      <c r="X5" s="43">
        <f>0.6*('Wind and Seismic'!$N$13*(U3*(D5/('Wind and Seismic'!$E$5*$D$7+$D$12))*(V3-W5)+U4*(V4-W5)+U5*(V5-W5)))</f>
        <v>230.4931925763801</v>
      </c>
    </row>
    <row r="6" spans="1:24" x14ac:dyDescent="0.25">
      <c r="A6" s="39" t="s">
        <v>104</v>
      </c>
      <c r="B6" s="38">
        <f>('Wind and Seismic'!E19)*12</f>
        <v>30</v>
      </c>
      <c r="C6" s="45">
        <f>'Wind and Seismic'!E15</f>
        <v>0.375</v>
      </c>
      <c r="D6" s="41">
        <f t="shared" si="1"/>
        <v>34.901130885974105</v>
      </c>
      <c r="E6" s="41">
        <f t="shared" si="2"/>
        <v>3829.4447869379951</v>
      </c>
      <c r="F6" s="43">
        <f>IF(B6=0,0,E6/(B6/2))</f>
        <v>255.29631912919967</v>
      </c>
      <c r="G6" s="42">
        <f>G5</f>
        <v>0</v>
      </c>
      <c r="H6" s="41">
        <f>IF(C6=0,0,(D6/(('Wind and Seismic'!E5*D7)+D12)*H3))</f>
        <v>0</v>
      </c>
      <c r="I6" s="43">
        <f>'Wind and Seismic'!E30/'Wind and Seismic'!$E$5</f>
        <v>6.7300358404415972</v>
      </c>
      <c r="J6" s="42">
        <f t="shared" ref="J6:J7" si="5">J5+G6</f>
        <v>484.5786398311962</v>
      </c>
      <c r="K6" s="41">
        <f t="shared" si="3"/>
        <v>0</v>
      </c>
      <c r="L6" s="43">
        <f t="shared" si="3"/>
        <v>36.096257986459428</v>
      </c>
      <c r="M6" s="42">
        <f>0.6*('Wind and Seismic'!E26/'Wind and Seismic'!$E$5)</f>
        <v>2.0568911111948545</v>
      </c>
      <c r="N6" s="41">
        <f t="shared" si="4"/>
        <v>8.7528185450152449</v>
      </c>
      <c r="O6" s="41">
        <f>'Wind and Seismic'!E16</f>
        <v>43.413899999999998</v>
      </c>
      <c r="P6" s="41">
        <f>'Wind and Seismic'!E27</f>
        <v>65.647848884316033</v>
      </c>
      <c r="Q6" s="41">
        <f t="shared" si="0"/>
        <v>22.233948884316035</v>
      </c>
      <c r="R6" s="41">
        <f t="shared" ref="R6:R12" si="6">M6*(Q6)</f>
        <v>45.732811826910407</v>
      </c>
      <c r="S6" s="43">
        <f>R6+(M3*(D7/(('Wind and Seismic'!$E$5*D7)+D12)))*(P3-O6)+M4*(P4-O6)+M5*(P5-O6)</f>
        <v>604.91856638513673</v>
      </c>
      <c r="T6" s="42">
        <f>0.6*('Wind and Seismic'!$N$15)</f>
        <v>41.419718119330561</v>
      </c>
      <c r="U6" s="41">
        <f>'Wind and Seismic'!E30/'Wind and Seismic'!$E$5</f>
        <v>6.7300358404415972</v>
      </c>
      <c r="V6" s="41">
        <f>'Wind and Seismic'!E21</f>
        <v>65.12084999999999</v>
      </c>
      <c r="W6" s="41">
        <v>43.413899999999998</v>
      </c>
      <c r="X6" s="43">
        <f>0.6*('Wind and Seismic'!$N$13*(U3*(D6/('Wind and Seismic'!$E$5*$D$7+$D$12))*(V3-W6)+U4*(V4-W6)+U5*(V5-W6)+U6*(V6-W6)))</f>
        <v>434.29062753564534</v>
      </c>
    </row>
    <row r="7" spans="1:24" x14ac:dyDescent="0.25">
      <c r="A7" s="39" t="s">
        <v>103</v>
      </c>
      <c r="B7" s="38">
        <f>('Wind and Seismic'!B19)*12</f>
        <v>30</v>
      </c>
      <c r="C7" s="45">
        <f>'Wind and Seismic'!B15</f>
        <v>0.375</v>
      </c>
      <c r="D7" s="41">
        <f t="shared" si="1"/>
        <v>34.901130885974105</v>
      </c>
      <c r="E7" s="41">
        <f t="shared" si="2"/>
        <v>3829.4447869379951</v>
      </c>
      <c r="F7" s="43">
        <f>IF(B7=0,0,E7/(B7/2))</f>
        <v>255.29631912919967</v>
      </c>
      <c r="G7" s="42">
        <f>G6</f>
        <v>0</v>
      </c>
      <c r="H7" s="41">
        <f>IF(C7=0,0,(D7/(('Wind and Seismic'!E5*D7)+D12)*H3))</f>
        <v>0</v>
      </c>
      <c r="I7" s="43">
        <f>'Wind and Seismic'!B30/'Wind and Seismic'!$E$5</f>
        <v>6.2508691737749302</v>
      </c>
      <c r="J7" s="42">
        <f t="shared" si="5"/>
        <v>484.5786398311962</v>
      </c>
      <c r="K7" s="41">
        <f t="shared" si="3"/>
        <v>0</v>
      </c>
      <c r="L7" s="43">
        <f t="shared" si="3"/>
        <v>42.347127160234358</v>
      </c>
      <c r="M7" s="42">
        <f>0.6*('Wind and Seismic'!B26/'Wind and Seismic'!$E$5)</f>
        <v>1.7159230286943006</v>
      </c>
      <c r="N7" s="41">
        <f t="shared" si="4"/>
        <v>10.468741573709545</v>
      </c>
      <c r="O7" s="41">
        <f>'Wind and Seismic'!B16</f>
        <v>0</v>
      </c>
      <c r="P7" s="41">
        <f>'Wind and Seismic'!B27</f>
        <v>22.513015518240834</v>
      </c>
      <c r="Q7" s="41">
        <f t="shared" si="0"/>
        <v>22.513015518240834</v>
      </c>
      <c r="R7" s="41">
        <f t="shared" si="6"/>
        <v>38.630601773101603</v>
      </c>
      <c r="S7" s="43">
        <f>R7+(M3*(D7/(('Wind and Seismic'!$E$5*D7)+D12)))*(P3-O7)+M4*(P4-O7)+M5*(P5-O7)+M6*(P6-O7)</f>
        <v>1023.5431571896758</v>
      </c>
      <c r="T7" s="42">
        <f>0.6*('Wind and Seismic'!$N$15)</f>
        <v>41.419718119330561</v>
      </c>
      <c r="U7" s="41">
        <f>'Wind and Seismic'!B30/'Wind and Seismic'!$E$5</f>
        <v>6.2508691737749302</v>
      </c>
      <c r="V7" s="41">
        <f>'Wind and Seismic'!B21</f>
        <v>21.706949999999999</v>
      </c>
      <c r="W7" s="41">
        <v>0</v>
      </c>
      <c r="X7" s="43">
        <f>0.6*('Wind and Seismic'!$N$13*(U3*(D7/('Wind and Seismic'!$E$5*$D$7+$D$12))*(V3-W7)+U4*(V4-W7)+U5*(V5-W7)+U6*(V6-W7)+U7*(V7-W7)))</f>
        <v>640.67920437612031</v>
      </c>
    </row>
    <row r="8" spans="1:24" x14ac:dyDescent="0.25">
      <c r="A8" s="39"/>
      <c r="B8" s="41"/>
      <c r="C8" s="41"/>
      <c r="D8" s="41"/>
      <c r="E8" s="41"/>
      <c r="F8" s="43"/>
      <c r="G8" s="39"/>
      <c r="H8" s="41"/>
      <c r="I8" s="43"/>
      <c r="J8" s="39"/>
      <c r="L8" s="40"/>
      <c r="M8" s="42"/>
      <c r="N8" s="41"/>
      <c r="O8" s="41"/>
      <c r="P8" s="41"/>
      <c r="Q8" s="41"/>
      <c r="R8" s="41"/>
      <c r="S8" s="43"/>
      <c r="T8" s="42"/>
      <c r="U8" s="41"/>
      <c r="W8" s="41">
        <v>0</v>
      </c>
      <c r="X8" s="43"/>
    </row>
    <row r="9" spans="1:24" x14ac:dyDescent="0.25">
      <c r="A9" s="39" t="s">
        <v>110</v>
      </c>
      <c r="B9" s="44">
        <f>('Wind and Seismic'!K37)*12</f>
        <v>0</v>
      </c>
      <c r="C9" s="44">
        <f>'Wind and Seismic'!K33</f>
        <v>0</v>
      </c>
      <c r="D9" s="41">
        <f t="shared" si="1"/>
        <v>0</v>
      </c>
      <c r="E9" s="41">
        <f t="shared" si="2"/>
        <v>0</v>
      </c>
      <c r="F9" s="43">
        <f>IF(B9=0,0,E9/(B9/2))</f>
        <v>0</v>
      </c>
      <c r="G9" s="42">
        <f>G8</f>
        <v>0</v>
      </c>
      <c r="H9" s="41">
        <f>IF(C9=0,0,(D9/(('Wind and Seismic'!E5*D7)+D12)*H3))</f>
        <v>0</v>
      </c>
      <c r="I9" s="43">
        <f>'Wind and Seismic'!K48</f>
        <v>0</v>
      </c>
      <c r="J9" s="39">
        <f>IF(C9=0,0,((D9/('Wind and Seismic'!$E$5*$D$7+$D$12))*J3)+G3)</f>
        <v>0</v>
      </c>
      <c r="K9" s="41">
        <f t="shared" si="3"/>
        <v>0</v>
      </c>
      <c r="L9" s="43">
        <f>'Wind and Seismic'!K66+I9</f>
        <v>14.395</v>
      </c>
      <c r="M9" s="42">
        <f>0.6*'Wind and Seismic'!K44</f>
        <v>0</v>
      </c>
      <c r="N9" s="41">
        <f>N3*(D12/(('Wind and Seismic'!$E$5*D7)+D12))+M9</f>
        <v>11.151389623728287</v>
      </c>
      <c r="O9" s="41">
        <f>'Wind and Seismic'!K34</f>
        <v>0</v>
      </c>
      <c r="P9" s="41">
        <f>'Wind and Seismic'!K45</f>
        <v>0</v>
      </c>
      <c r="Q9" s="41">
        <f t="shared" si="0"/>
        <v>0</v>
      </c>
      <c r="R9" s="41">
        <f t="shared" si="6"/>
        <v>0</v>
      </c>
      <c r="S9" s="43">
        <f>R9</f>
        <v>0</v>
      </c>
      <c r="T9" s="42">
        <f>0.6*('Wind and Seismic'!$N$15)</f>
        <v>41.419718119330561</v>
      </c>
      <c r="U9" s="41">
        <f>'Wind and Seismic'!K48</f>
        <v>0</v>
      </c>
      <c r="V9" s="38">
        <f>'Wind and Seismic'!K39</f>
        <v>0</v>
      </c>
      <c r="W9" s="41">
        <v>0</v>
      </c>
      <c r="X9" s="43"/>
    </row>
    <row r="10" spans="1:24" x14ac:dyDescent="0.25">
      <c r="A10" s="39" t="s">
        <v>109</v>
      </c>
      <c r="B10" s="38">
        <f>('Wind and Seismic'!H37)*12</f>
        <v>48</v>
      </c>
      <c r="C10" s="45">
        <f>'Wind and Seismic'!H33</f>
        <v>0.625</v>
      </c>
      <c r="D10" s="41">
        <f t="shared" si="1"/>
        <v>93.020594977385286</v>
      </c>
      <c r="E10" s="41">
        <f t="shared" si="2"/>
        <v>26101.360933634831</v>
      </c>
      <c r="F10" s="43">
        <f>IF(B10=0,0,E10/(B10/2))</f>
        <v>1087.5567055681179</v>
      </c>
      <c r="G10" s="42">
        <f>G9</f>
        <v>0</v>
      </c>
      <c r="H10" s="41">
        <f>IF(C10=0,0,(D10/(('Wind and Seismic'!E5*D7)+D12)*H3))</f>
        <v>0</v>
      </c>
      <c r="I10" s="43">
        <f>'Wind and Seismic'!H48</f>
        <v>9.2601020415928801</v>
      </c>
      <c r="J10" s="42">
        <f>IF(C10=0,0,((D10/('Wind and Seismic'!$E$5*$D$7+$D$12))*J3)+G9)</f>
        <v>1291.5281610128227</v>
      </c>
      <c r="K10" s="41">
        <f t="shared" si="3"/>
        <v>0</v>
      </c>
      <c r="L10" s="43">
        <f t="shared" si="3"/>
        <v>23.65510204159288</v>
      </c>
      <c r="M10" s="42">
        <f>0.6*'Wind and Seismic'!H44</f>
        <v>2.4542314166655652</v>
      </c>
      <c r="N10" s="41">
        <f t="shared" si="4"/>
        <v>13.605621040393853</v>
      </c>
      <c r="O10" s="41">
        <f>'Wind and Seismic'!H34</f>
        <v>86.827799999999996</v>
      </c>
      <c r="P10" s="41">
        <f>'Wind and Seismic'!H45</f>
        <v>101.60439016745438</v>
      </c>
      <c r="Q10" s="41">
        <f t="shared" si="0"/>
        <v>14.776590167454387</v>
      </c>
      <c r="R10" s="41">
        <f t="shared" si="6"/>
        <v>36.265171820158038</v>
      </c>
      <c r="S10" s="43">
        <f>R10+(M3*(D12/(('Wind and Seismic'!$E$5*D7)+D12)))*(P3-O10)+M9*(P9-O10)</f>
        <v>591.57649660776724</v>
      </c>
      <c r="T10" s="42">
        <f>0.6*('Wind and Seismic'!$N$15)</f>
        <v>41.419718119330561</v>
      </c>
      <c r="U10" s="41">
        <f>'Wind and Seismic'!H48</f>
        <v>9.2601020415928801</v>
      </c>
      <c r="V10" s="41">
        <f>'Wind and Seismic'!H39</f>
        <v>101.4554</v>
      </c>
      <c r="W10" s="41">
        <v>86.827799999999996</v>
      </c>
      <c r="X10" s="43">
        <f>0.6*('Wind and Seismic'!$N$13*((U3*(D10/('Wind and Seismic'!$E$5*$D$7+$D$12))*(V3-W10)+U9*(V9-W10)+U10*(V10-W10))))</f>
        <v>611.42275184179948</v>
      </c>
    </row>
    <row r="11" spans="1:24" x14ac:dyDescent="0.25">
      <c r="A11" s="39" t="s">
        <v>108</v>
      </c>
      <c r="B11" s="38">
        <f>('Wind and Seismic'!E37)*12</f>
        <v>48</v>
      </c>
      <c r="C11" s="45">
        <f>'Wind and Seismic'!E33</f>
        <v>0.625</v>
      </c>
      <c r="D11" s="41">
        <f t="shared" si="1"/>
        <v>93.020594977385286</v>
      </c>
      <c r="E11" s="41">
        <f t="shared" si="2"/>
        <v>26101.360933634831</v>
      </c>
      <c r="F11" s="43">
        <f>IF(B11=0,0,E11/(B11/2))</f>
        <v>1087.5567055681179</v>
      </c>
      <c r="G11" s="42">
        <f>G10</f>
        <v>0</v>
      </c>
      <c r="H11" s="41">
        <f>IF(C11=0,0,(D11/(('Wind and Seismic'!E5*D7)+D12)*H3))</f>
        <v>0</v>
      </c>
      <c r="I11" s="43">
        <f>'Wind and Seismic'!E48</f>
        <v>13.741732889315715</v>
      </c>
      <c r="J11" s="42">
        <f t="shared" ref="J11:J12" si="7">J10+G11</f>
        <v>1291.5281610128227</v>
      </c>
      <c r="K11" s="41">
        <f t="shared" si="3"/>
        <v>0</v>
      </c>
      <c r="L11" s="43">
        <f t="shared" si="3"/>
        <v>37.396834930908597</v>
      </c>
      <c r="M11" s="42">
        <f>0.6*'Wind and Seismic'!E44</f>
        <v>3.2910257779117673</v>
      </c>
      <c r="N11" s="41">
        <f t="shared" si="4"/>
        <v>16.896646818305619</v>
      </c>
      <c r="O11" s="41">
        <f>'Wind and Seismic'!E34</f>
        <v>43.413899999999998</v>
      </c>
      <c r="P11" s="41">
        <f>'Wind and Seismic'!E45</f>
        <v>65.647848884316033</v>
      </c>
      <c r="Q11" s="41">
        <f t="shared" si="0"/>
        <v>22.233948884316035</v>
      </c>
      <c r="R11" s="41">
        <f t="shared" si="6"/>
        <v>73.172498923056651</v>
      </c>
      <c r="S11" s="43">
        <f>R11+(M3*(D12/(('Wind and Seismic'!$E$5*D7)+D12)))*(P3-O11)+M9*(P9-O11)+M10*(P10-O11)</f>
        <v>1255.4220668163784</v>
      </c>
      <c r="T11" s="42">
        <f>0.6*('Wind and Seismic'!$N$15)</f>
        <v>41.419718119330561</v>
      </c>
      <c r="U11" s="41">
        <f>'Wind and Seismic'!E48</f>
        <v>13.741732889315715</v>
      </c>
      <c r="V11" s="41">
        <f>'Wind and Seismic'!E39</f>
        <v>65.12084999999999</v>
      </c>
      <c r="W11" s="41">
        <v>43.413899999999998</v>
      </c>
      <c r="X11" s="43">
        <f>0.6*('Wind and Seismic'!$N$13*((U3*(D11/('Wind and Seismic'!$E$5*$D$7+$D$12))*(V3-W11)+U9*(V9-W11)+U10*(V10-W11))+U11*(V11-W11)))</f>
        <v>1149.8204473981052</v>
      </c>
    </row>
    <row r="12" spans="1:24" ht="15.75" thickBot="1" x14ac:dyDescent="0.3">
      <c r="A12" s="46" t="s">
        <v>107</v>
      </c>
      <c r="B12" s="47">
        <f>('Wind and Seismic'!B37)*12</f>
        <v>48</v>
      </c>
      <c r="C12" s="48">
        <f>'Wind and Seismic'!B33</f>
        <v>0.625</v>
      </c>
      <c r="D12" s="50">
        <f t="shared" si="1"/>
        <v>93.020594977385286</v>
      </c>
      <c r="E12" s="50">
        <f t="shared" si="2"/>
        <v>26101.360933634831</v>
      </c>
      <c r="F12" s="51">
        <f>IF(B12=0,0,E12/(B12/2))</f>
        <v>1087.5567055681179</v>
      </c>
      <c r="G12" s="52">
        <f>G11</f>
        <v>0</v>
      </c>
      <c r="H12" s="50">
        <f>IF(C12=0,0,(D12/(('Wind and Seismic'!E5*D7)+D12)*H3))</f>
        <v>0</v>
      </c>
      <c r="I12" s="51">
        <f>'Wind and Seismic'!B48</f>
        <v>13.741732889315715</v>
      </c>
      <c r="J12" s="52">
        <f t="shared" si="7"/>
        <v>1291.5281610128227</v>
      </c>
      <c r="K12" s="50">
        <f t="shared" si="3"/>
        <v>0</v>
      </c>
      <c r="L12" s="51">
        <f t="shared" si="3"/>
        <v>51.13856782022431</v>
      </c>
      <c r="M12" s="52">
        <f>0.6*'Wind and Seismic'!B44</f>
        <v>2.7454768459108809</v>
      </c>
      <c r="N12" s="50">
        <f t="shared" si="4"/>
        <v>19.642123664216498</v>
      </c>
      <c r="O12" s="50">
        <f>'Wind and Seismic'!B34</f>
        <v>0</v>
      </c>
      <c r="P12" s="50">
        <f>'Wind and Seismic'!B45</f>
        <v>22.513015518240834</v>
      </c>
      <c r="Q12" s="50">
        <f>P12-O12</f>
        <v>22.513015518240834</v>
      </c>
      <c r="R12" s="50">
        <f t="shared" si="6"/>
        <v>61.808962836962564</v>
      </c>
      <c r="S12" s="51">
        <f>R12+(M3*(D12/(('Wind and Seismic'!$E$5*D7)+D12)))*(P3-O12)+M9*(P9-O12)+M10*(P10-O12)+M11*(P11-O12)</f>
        <v>2050.7803649585794</v>
      </c>
      <c r="T12" s="52">
        <f>0.6*('Wind and Seismic'!$N$15)</f>
        <v>41.419718119330561</v>
      </c>
      <c r="U12" s="50">
        <f>'Wind and Seismic'!B48</f>
        <v>13.741732889315715</v>
      </c>
      <c r="V12" s="50">
        <f>'Wind and Seismic'!B39</f>
        <v>21.706949999999999</v>
      </c>
      <c r="W12" s="50">
        <v>0</v>
      </c>
      <c r="X12" s="51">
        <f>0.6*('Wind and Seismic'!$N$13*((U3*(D12/('Wind and Seismic'!$E$5*$D$7+$D$12))*(V3-W12)+U9*(V9-W12)+U10*(V10-W12))+U11*(V11-W12)+U12*(V12-W12)))</f>
        <v>1693.7041671678089</v>
      </c>
    </row>
    <row r="13" spans="1:24" ht="15.75" thickBot="1" x14ac:dyDescent="0.3"/>
    <row r="14" spans="1:24" ht="15.75" thickBot="1" x14ac:dyDescent="0.3">
      <c r="A14" s="252" t="s">
        <v>42</v>
      </c>
      <c r="B14" s="253"/>
      <c r="C14" s="254"/>
    </row>
    <row r="15" spans="1:24" ht="18" x14ac:dyDescent="0.35">
      <c r="A15" s="39" t="s">
        <v>36</v>
      </c>
      <c r="B15" s="38">
        <v>36000</v>
      </c>
      <c r="C15" s="40" t="s">
        <v>57</v>
      </c>
    </row>
    <row r="16" spans="1:24" x14ac:dyDescent="0.25">
      <c r="A16" s="39" t="s">
        <v>37</v>
      </c>
      <c r="B16" s="38">
        <v>1</v>
      </c>
      <c r="C16" s="40"/>
    </row>
    <row r="17" spans="1:17" x14ac:dyDescent="0.25">
      <c r="A17" s="39"/>
      <c r="C17" s="40"/>
    </row>
    <row r="18" spans="1:17" ht="18" x14ac:dyDescent="0.35">
      <c r="A18" s="39" t="s">
        <v>40</v>
      </c>
      <c r="B18" s="38">
        <f>VLOOKUP(B15,P21:Q27,2,FALSE)</f>
        <v>334</v>
      </c>
      <c r="C18" s="40"/>
    </row>
    <row r="19" spans="1:17" ht="15.75" thickBot="1" x14ac:dyDescent="0.3">
      <c r="A19" s="46" t="s">
        <v>41</v>
      </c>
      <c r="B19" s="47">
        <v>29000000</v>
      </c>
      <c r="C19" s="49" t="s">
        <v>57</v>
      </c>
    </row>
    <row r="20" spans="1:17" s="53" customFormat="1" ht="18.75" thickBot="1" x14ac:dyDescent="0.3">
      <c r="A20" s="27" t="s">
        <v>58</v>
      </c>
      <c r="B20" s="28" t="s">
        <v>69</v>
      </c>
      <c r="C20" s="28" t="s">
        <v>60</v>
      </c>
      <c r="D20" s="28" t="s">
        <v>39</v>
      </c>
      <c r="E20" s="28" t="s">
        <v>63</v>
      </c>
      <c r="F20" s="28" t="s">
        <v>64</v>
      </c>
      <c r="G20" s="28" t="s">
        <v>70</v>
      </c>
      <c r="H20" s="28" t="s">
        <v>71</v>
      </c>
      <c r="I20" s="28" t="s">
        <v>72</v>
      </c>
      <c r="J20" s="28" t="s">
        <v>38</v>
      </c>
      <c r="K20" s="28" t="s">
        <v>73</v>
      </c>
      <c r="L20" s="28" t="s">
        <v>130</v>
      </c>
      <c r="M20" s="28" t="s">
        <v>74</v>
      </c>
      <c r="N20" s="29" t="s">
        <v>75</v>
      </c>
      <c r="P20" s="54" t="s">
        <v>82</v>
      </c>
      <c r="Q20" s="55" t="s">
        <v>40</v>
      </c>
    </row>
    <row r="21" spans="1:17" x14ac:dyDescent="0.25">
      <c r="A21" s="39" t="str" cm="1">
        <f t="array" ref="A21:A30">A3:A12</f>
        <v>Tank</v>
      </c>
      <c r="B21" s="38" t="s">
        <v>62</v>
      </c>
      <c r="C21" s="38" t="s">
        <v>62</v>
      </c>
      <c r="D21" s="38" t="s">
        <v>62</v>
      </c>
      <c r="E21" s="38" t="s">
        <v>62</v>
      </c>
      <c r="F21" s="38" t="s">
        <v>62</v>
      </c>
      <c r="G21" s="38" t="s">
        <v>62</v>
      </c>
      <c r="H21" s="38" t="s">
        <v>62</v>
      </c>
      <c r="I21" s="38" t="s">
        <v>62</v>
      </c>
      <c r="J21" s="38" t="s">
        <v>62</v>
      </c>
      <c r="K21" s="38" t="s">
        <v>62</v>
      </c>
      <c r="L21" s="38" t="s">
        <v>62</v>
      </c>
      <c r="M21" s="38" t="s">
        <v>62</v>
      </c>
      <c r="N21" s="40" t="str" cm="1">
        <f t="array" ref="N21:N30">I21:I30</f>
        <v>-</v>
      </c>
      <c r="P21" s="39">
        <v>30000</v>
      </c>
      <c r="Q21" s="56">
        <v>403</v>
      </c>
    </row>
    <row r="22" spans="1:17" x14ac:dyDescent="0.25">
      <c r="A22" s="39" t="str">
        <v>C4</v>
      </c>
      <c r="B22" s="38" cm="1">
        <f t="array" ref="B22:B30">B4:B12/2</f>
        <v>0</v>
      </c>
      <c r="C22" s="44" cm="1">
        <f t="array" ref="C22:C30">C4:C12</f>
        <v>0</v>
      </c>
      <c r="D22" s="38">
        <f>IF(B22=0,0,B22/C22)</f>
        <v>0</v>
      </c>
      <c r="E22" s="41" cm="1">
        <f t="array" ref="E22:E30">D4:D12</f>
        <v>0</v>
      </c>
      <c r="F22" s="41" cm="1">
        <f t="array" ref="F22:F30">E4:E12</f>
        <v>0</v>
      </c>
      <c r="G22" s="41">
        <f>IF(B22=0,0,SQRT(F22/E22))</f>
        <v>0</v>
      </c>
      <c r="H22" s="41">
        <f>IF(B22=0,0,MAX(0.125,1022/(195+D22)))</f>
        <v>0</v>
      </c>
      <c r="I22" s="38">
        <f>IF(B22=0,0,IF(D22&lt;$B$18,MIN(233*$B$15/2/(166+D22),$B$15/2),H22*$B$19/2/D22)/1000)</f>
        <v>0</v>
      </c>
      <c r="J22" s="41">
        <f>IF(B22=0,0,$B$16*12*'Wind and Seismic'!K17/G22)</f>
        <v>0</v>
      </c>
      <c r="K22" s="41">
        <f>IF(B22=0,0,SQRT(PI()^2*$B$19/I22/1000))</f>
        <v>0</v>
      </c>
      <c r="L22" s="41">
        <f>IF(B22=0,0,IF(J22&gt;K22,0.5*(K22/J22)^2,IF(J22&lt;25,1,1-0.5*(J22/K22)^2)))</f>
        <v>0</v>
      </c>
      <c r="M22" s="41">
        <f>IF(B22=0,0,L22*I22)</f>
        <v>0</v>
      </c>
      <c r="N22" s="40">
        <v>0</v>
      </c>
      <c r="P22" s="39">
        <v>32000</v>
      </c>
      <c r="Q22" s="56">
        <v>377</v>
      </c>
    </row>
    <row r="23" spans="1:17" x14ac:dyDescent="0.25">
      <c r="A23" s="39" t="str">
        <v>C3</v>
      </c>
      <c r="B23" s="38">
        <v>15</v>
      </c>
      <c r="C23" s="45">
        <v>0.375</v>
      </c>
      <c r="D23" s="44">
        <f>IF(B23=0,0,B23/C23)</f>
        <v>40</v>
      </c>
      <c r="E23" s="41">
        <v>34.901130885974105</v>
      </c>
      <c r="F23" s="41">
        <v>3829.4447869379951</v>
      </c>
      <c r="G23" s="41">
        <f t="shared" ref="G23:G30" si="8">IF(B23=0,0,SQRT(F23/E23))</f>
        <v>10.474858292597567</v>
      </c>
      <c r="H23" s="41">
        <f t="shared" ref="H23:H30" si="9">IF(B23=0,0,MAX(0.125,1022/(195+D23)))</f>
        <v>4.3489361702127658</v>
      </c>
      <c r="I23" s="38">
        <f t="shared" ref="I23:I30" si="10">IF(B23=0,0,IF(D23&lt;$B$18,MIN(233*$B$15/2/(166+D23),$B$15/2),H23*$B$19/2/D23)/1000)</f>
        <v>18</v>
      </c>
      <c r="J23" s="41">
        <f>IF(B23=0,0,$B$16*12*'Wind and Seismic'!H17/G23)</f>
        <v>54.030974376041023</v>
      </c>
      <c r="K23" s="41">
        <f>IF(B23=0,0,SQRT(PI()^2*$B$19/I23/1000))</f>
        <v>126.09928355413518</v>
      </c>
      <c r="L23" s="41">
        <f t="shared" ref="L23:L30" si="11">IF(B23=0,0,IF(J23&gt;K23,0.5*(K23/J23)^2,IF(J23&lt;25,1,1-0.5*(J23/K23)^2)))</f>
        <v>0.90820260328486291</v>
      </c>
      <c r="M23" s="41">
        <f>IF(B23=0,0,L23*I23)</f>
        <v>16.347646859127533</v>
      </c>
      <c r="N23" s="40">
        <v>18</v>
      </c>
      <c r="P23" s="39">
        <v>34000</v>
      </c>
      <c r="Q23" s="56">
        <v>354</v>
      </c>
    </row>
    <row r="24" spans="1:17" x14ac:dyDescent="0.25">
      <c r="A24" s="39" t="str">
        <v>C2</v>
      </c>
      <c r="B24" s="38">
        <v>15</v>
      </c>
      <c r="C24" s="45">
        <v>0.375</v>
      </c>
      <c r="D24" s="38">
        <f t="shared" ref="D24:D30" si="12">IF(B24=0,0,B24/C24)</f>
        <v>40</v>
      </c>
      <c r="E24" s="41">
        <v>34.901130885974105</v>
      </c>
      <c r="F24" s="41">
        <v>3829.4447869379951</v>
      </c>
      <c r="G24" s="41">
        <f t="shared" si="8"/>
        <v>10.474858292597567</v>
      </c>
      <c r="H24" s="41">
        <f t="shared" si="9"/>
        <v>4.3489361702127658</v>
      </c>
      <c r="I24" s="38">
        <f t="shared" si="10"/>
        <v>18</v>
      </c>
      <c r="J24" s="41">
        <f>IF(B24=0,0,$B$16*12*'Wind and Seismic'!E17/G24)</f>
        <v>49.734973538320773</v>
      </c>
      <c r="K24" s="41">
        <f t="shared" ref="K24:K29" si="13">IF(B24=0,0,SQRT(PI()^2*$B$19/I24/1000))</f>
        <v>126.09928355413518</v>
      </c>
      <c r="L24" s="41">
        <f t="shared" si="11"/>
        <v>0.92221989079486821</v>
      </c>
      <c r="M24" s="41">
        <f t="shared" ref="M24:M29" si="14">IF(B24=0,0,L24*I24)</f>
        <v>16.599958034307626</v>
      </c>
      <c r="N24" s="40">
        <v>18</v>
      </c>
      <c r="P24" s="39">
        <v>36000</v>
      </c>
      <c r="Q24" s="56">
        <v>334</v>
      </c>
    </row>
    <row r="25" spans="1:17" x14ac:dyDescent="0.25">
      <c r="A25" s="39" t="str">
        <v>C1</v>
      </c>
      <c r="B25" s="38">
        <v>15</v>
      </c>
      <c r="C25" s="45">
        <v>0.375</v>
      </c>
      <c r="D25" s="38">
        <f t="shared" si="12"/>
        <v>40</v>
      </c>
      <c r="E25" s="41">
        <v>34.901130885974105</v>
      </c>
      <c r="F25" s="41">
        <v>3829.4447869379951</v>
      </c>
      <c r="G25" s="41">
        <f t="shared" si="8"/>
        <v>10.474858292597567</v>
      </c>
      <c r="H25" s="41">
        <f t="shared" si="9"/>
        <v>4.3489361702127658</v>
      </c>
      <c r="I25" s="38">
        <f t="shared" si="10"/>
        <v>18</v>
      </c>
      <c r="J25" s="41">
        <f>IF(B25=0,0,$B$16*12*'Wind and Seismic'!B17/G25)</f>
        <v>49.734973538320773</v>
      </c>
      <c r="K25" s="41">
        <f t="shared" si="13"/>
        <v>126.09928355413518</v>
      </c>
      <c r="L25" s="41">
        <f t="shared" si="11"/>
        <v>0.92221989079486821</v>
      </c>
      <c r="M25" s="41">
        <f t="shared" si="14"/>
        <v>16.599958034307626</v>
      </c>
      <c r="N25" s="40">
        <v>18</v>
      </c>
      <c r="P25" s="39">
        <v>38000</v>
      </c>
      <c r="Q25" s="56">
        <v>316</v>
      </c>
    </row>
    <row r="26" spans="1:17" ht="15.75" thickBot="1" x14ac:dyDescent="0.3">
      <c r="A26" s="39">
        <v>0</v>
      </c>
      <c r="B26" s="38">
        <v>0</v>
      </c>
      <c r="C26" s="38">
        <v>0</v>
      </c>
      <c r="E26" s="41">
        <v>0</v>
      </c>
      <c r="F26" s="41">
        <v>0</v>
      </c>
      <c r="G26" s="41"/>
      <c r="H26" s="41"/>
      <c r="J26" s="41"/>
      <c r="K26" s="41"/>
      <c r="L26" s="41"/>
      <c r="M26" s="41"/>
      <c r="N26" s="40">
        <v>0</v>
      </c>
      <c r="P26" s="46">
        <v>40000</v>
      </c>
      <c r="Q26" s="57">
        <v>299</v>
      </c>
    </row>
    <row r="27" spans="1:17" x14ac:dyDescent="0.25">
      <c r="A27" s="39" t="str">
        <v>R4</v>
      </c>
      <c r="B27" s="38">
        <v>0</v>
      </c>
      <c r="C27" s="38">
        <v>0</v>
      </c>
      <c r="D27" s="38">
        <f t="shared" si="12"/>
        <v>0</v>
      </c>
      <c r="E27" s="41">
        <v>0</v>
      </c>
      <c r="F27" s="41">
        <v>0</v>
      </c>
      <c r="G27" s="41">
        <f t="shared" si="8"/>
        <v>0</v>
      </c>
      <c r="H27" s="41">
        <f t="shared" si="9"/>
        <v>0</v>
      </c>
      <c r="I27" s="38">
        <f t="shared" si="10"/>
        <v>0</v>
      </c>
      <c r="J27" s="41">
        <f>IF(B27=0,0,$B$16*12*'Wind and Seismic'!K35/G27)</f>
        <v>0</v>
      </c>
      <c r="K27" s="41">
        <f t="shared" si="13"/>
        <v>0</v>
      </c>
      <c r="L27" s="41">
        <f t="shared" si="11"/>
        <v>0</v>
      </c>
      <c r="M27" s="41">
        <f t="shared" si="14"/>
        <v>0</v>
      </c>
      <c r="N27" s="40">
        <v>0</v>
      </c>
      <c r="O27" s="39"/>
      <c r="P27" s="36"/>
      <c r="Q27" s="36"/>
    </row>
    <row r="28" spans="1:17" x14ac:dyDescent="0.25">
      <c r="A28" s="39" t="str">
        <v>R3</v>
      </c>
      <c r="B28" s="38">
        <v>24</v>
      </c>
      <c r="C28" s="45">
        <v>0.625</v>
      </c>
      <c r="D28" s="58">
        <f t="shared" si="12"/>
        <v>38.4</v>
      </c>
      <c r="E28" s="41">
        <v>93.020594977385286</v>
      </c>
      <c r="F28" s="41">
        <v>26101.360933634831</v>
      </c>
      <c r="G28" s="41">
        <f t="shared" si="8"/>
        <v>16.751049407425196</v>
      </c>
      <c r="H28" s="41">
        <f t="shared" si="9"/>
        <v>4.3787489288774637</v>
      </c>
      <c r="I28" s="38">
        <f t="shared" si="10"/>
        <v>18</v>
      </c>
      <c r="J28" s="41">
        <f>IF(B28=0,0,$B$16*12*'Wind and Seismic'!H35/G28)</f>
        <v>20.957636232890902</v>
      </c>
      <c r="K28" s="41">
        <f t="shared" si="13"/>
        <v>126.09928355413518</v>
      </c>
      <c r="L28" s="41">
        <f t="shared" si="11"/>
        <v>1</v>
      </c>
      <c r="M28" s="41">
        <f t="shared" si="14"/>
        <v>18</v>
      </c>
      <c r="N28" s="40">
        <v>18</v>
      </c>
      <c r="O28" s="39"/>
    </row>
    <row r="29" spans="1:17" x14ac:dyDescent="0.25">
      <c r="A29" s="39" t="str">
        <v>R2</v>
      </c>
      <c r="B29" s="38">
        <v>24</v>
      </c>
      <c r="C29" s="45">
        <v>0.625</v>
      </c>
      <c r="D29" s="58">
        <f t="shared" si="12"/>
        <v>38.4</v>
      </c>
      <c r="E29" s="41">
        <v>93.020594977385286</v>
      </c>
      <c r="F29" s="41">
        <v>26101.360933634831</v>
      </c>
      <c r="G29" s="41">
        <f t="shared" si="8"/>
        <v>16.751049407425196</v>
      </c>
      <c r="H29" s="41">
        <f t="shared" si="9"/>
        <v>4.3787489288774637</v>
      </c>
      <c r="I29" s="38">
        <f t="shared" si="10"/>
        <v>18</v>
      </c>
      <c r="J29" s="41">
        <f>IF(B29=0,0,$B$16*12*'Wind and Seismic'!E35/G29)</f>
        <v>31.100547036120155</v>
      </c>
      <c r="K29" s="41">
        <f t="shared" si="13"/>
        <v>126.09928355413518</v>
      </c>
      <c r="L29" s="41">
        <f t="shared" si="11"/>
        <v>0.96958549013040041</v>
      </c>
      <c r="M29" s="41">
        <f t="shared" si="14"/>
        <v>17.452538822347208</v>
      </c>
      <c r="N29" s="40">
        <v>18</v>
      </c>
    </row>
    <row r="30" spans="1:17" ht="15.75" thickBot="1" x14ac:dyDescent="0.3">
      <c r="A30" s="14" t="str">
        <v>R1</v>
      </c>
      <c r="B30" s="15">
        <v>24</v>
      </c>
      <c r="C30" s="26">
        <v>0.625</v>
      </c>
      <c r="D30" s="59">
        <f t="shared" si="12"/>
        <v>38.4</v>
      </c>
      <c r="E30" s="191">
        <v>93.020594977385286</v>
      </c>
      <c r="F30" s="191">
        <v>26101.360933634831</v>
      </c>
      <c r="G30" s="50">
        <f t="shared" si="8"/>
        <v>16.751049407425196</v>
      </c>
      <c r="H30" s="50">
        <f t="shared" si="9"/>
        <v>4.3787489288774637</v>
      </c>
      <c r="I30" s="47">
        <f t="shared" si="10"/>
        <v>18</v>
      </c>
      <c r="J30" s="50">
        <f>IF(B30=0,0,$B$16*12*'Wind and Seismic'!B35/G30)</f>
        <v>31.100547036120155</v>
      </c>
      <c r="K30" s="50">
        <f>IF(B30=0,0,SQRT(PI()^2*$B$19/I30/1000))</f>
        <v>126.09928355413518</v>
      </c>
      <c r="L30" s="50">
        <f t="shared" si="11"/>
        <v>0.96958549013040041</v>
      </c>
      <c r="M30" s="50">
        <f>IF(B30=0,0,L30*I30)</f>
        <v>17.452538822347208</v>
      </c>
      <c r="N30" s="16">
        <v>18</v>
      </c>
    </row>
    <row r="31" spans="1:17" ht="15.75" thickBot="1" x14ac:dyDescent="0.3"/>
    <row r="32" spans="1:17" ht="18.75" thickBot="1" x14ac:dyDescent="0.4">
      <c r="A32" s="60" t="str" cm="1">
        <f t="array" ref="A32:A42">A20:A30</f>
        <v>Segement</v>
      </c>
      <c r="B32" s="61" t="s">
        <v>35</v>
      </c>
      <c r="C32" s="61" t="s">
        <v>34</v>
      </c>
      <c r="D32" s="62" t="s">
        <v>76</v>
      </c>
    </row>
    <row r="33" spans="1:4" x14ac:dyDescent="0.25">
      <c r="A33" s="39" t="str">
        <v>Tank</v>
      </c>
      <c r="B33" s="56" t="s">
        <v>62</v>
      </c>
      <c r="C33" s="56" t="s">
        <v>62</v>
      </c>
      <c r="D33" s="40" t="s">
        <v>62</v>
      </c>
    </row>
    <row r="34" spans="1:4" x14ac:dyDescent="0.25">
      <c r="A34" s="39" t="str">
        <v>C4</v>
      </c>
      <c r="B34" s="192">
        <f>IF(D4=0,0,(J4+K4+L4)/D4)</f>
        <v>0</v>
      </c>
      <c r="C34" s="192">
        <f>IF(F4=0,0,S4*12/F4)</f>
        <v>0</v>
      </c>
      <c r="D34" s="40" t="str">
        <f>IF(B34+C34=0,"NA",B34/M22+C34/N22)</f>
        <v>NA</v>
      </c>
    </row>
    <row r="35" spans="1:4" x14ac:dyDescent="0.25">
      <c r="A35" s="39" t="str">
        <v>C3</v>
      </c>
      <c r="B35" s="192">
        <f>IF(D5=0,0,(J5+K5+L5)/D5)</f>
        <v>14.725736643214494</v>
      </c>
      <c r="C35" s="192">
        <f>IF(F5=0,0,S5*12/F5)</f>
        <v>12.620131686421139</v>
      </c>
      <c r="D35" s="43">
        <f>IF(B35+C35=0,"NA",B35/M23+C35/N23)</f>
        <v>1.601904746309009</v>
      </c>
    </row>
    <row r="36" spans="1:4" x14ac:dyDescent="0.25">
      <c r="A36" s="39" t="str">
        <v>C2</v>
      </c>
      <c r="B36" s="192">
        <f t="shared" ref="B36:B41" si="15">IF(D6=0,0,(J6+K6+L6)/D6)</f>
        <v>14.918568097943837</v>
      </c>
      <c r="C36" s="192">
        <f t="shared" ref="C36:C42" si="16">IF(F6=0,0,S6*12/F6)</f>
        <v>28.433715070321927</v>
      </c>
      <c r="D36" s="43">
        <f t="shared" ref="D36:D42" si="17">IF(B36+C36=0,"NA",B36/M24+C36/N24)</f>
        <v>2.4783620307931984</v>
      </c>
    </row>
    <row r="37" spans="1:4" x14ac:dyDescent="0.25">
      <c r="A37" s="39" t="str">
        <v>C1</v>
      </c>
      <c r="B37" s="192">
        <f>IF(D7=0,0,(J7+K7+L7)/D7)</f>
        <v>15.097670293634781</v>
      </c>
      <c r="C37" s="192">
        <f>IF(F7=0,0,S7*12/F7)</f>
        <v>48.110830301709939</v>
      </c>
      <c r="D37" s="43">
        <f>IF(B37+C37=0,"NA",B37/M25+C37/N25)</f>
        <v>3.5823244153766596</v>
      </c>
    </row>
    <row r="38" spans="1:4" x14ac:dyDescent="0.25">
      <c r="A38" s="39">
        <v>0</v>
      </c>
      <c r="B38" s="192">
        <f t="shared" si="15"/>
        <v>0</v>
      </c>
      <c r="C38" s="192">
        <f t="shared" si="16"/>
        <v>0</v>
      </c>
      <c r="D38" s="40" t="str">
        <f t="shared" si="17"/>
        <v>NA</v>
      </c>
    </row>
    <row r="39" spans="1:4" x14ac:dyDescent="0.25">
      <c r="A39" s="39" t="str">
        <v>R4</v>
      </c>
      <c r="B39" s="192">
        <f t="shared" si="15"/>
        <v>0</v>
      </c>
      <c r="C39" s="192">
        <f t="shared" si="16"/>
        <v>0</v>
      </c>
      <c r="D39" s="40" t="str">
        <f t="shared" si="17"/>
        <v>NA</v>
      </c>
    </row>
    <row r="40" spans="1:4" x14ac:dyDescent="0.25">
      <c r="A40" s="39" t="str">
        <v>R3</v>
      </c>
      <c r="B40" s="192">
        <f t="shared" si="15"/>
        <v>14.138624498952696</v>
      </c>
      <c r="C40" s="192">
        <f t="shared" si="16"/>
        <v>6.5274002936562967</v>
      </c>
      <c r="D40" s="43">
        <f t="shared" si="17"/>
        <v>1.1481124884782774</v>
      </c>
    </row>
    <row r="41" spans="1:4" x14ac:dyDescent="0.25">
      <c r="A41" s="39" t="str">
        <v>R2</v>
      </c>
      <c r="B41" s="192">
        <f t="shared" si="15"/>
        <v>14.286352353119362</v>
      </c>
      <c r="C41" s="192">
        <f t="shared" si="16"/>
        <v>13.852210854538249</v>
      </c>
      <c r="D41" s="43">
        <f t="shared" si="17"/>
        <v>1.5881503136045603</v>
      </c>
    </row>
    <row r="42" spans="1:4" ht="15.75" thickBot="1" x14ac:dyDescent="0.3">
      <c r="A42" s="46" t="str">
        <v>R1</v>
      </c>
      <c r="B42" s="193">
        <f>IF(D12=0,0,(J12+K12+L12)/D12)</f>
        <v>14.434080207286028</v>
      </c>
      <c r="C42" s="193">
        <f t="shared" si="16"/>
        <v>22.628120679599427</v>
      </c>
      <c r="D42" s="51">
        <f t="shared" si="17"/>
        <v>2.084165407531998</v>
      </c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8"/>
  <sheetViews>
    <sheetView workbookViewId="0">
      <selection activeCell="A7" sqref="A7:XFD7"/>
    </sheetView>
  </sheetViews>
  <sheetFormatPr defaultColWidth="9.140625" defaultRowHeight="15" x14ac:dyDescent="0.25"/>
  <cols>
    <col min="1" max="1" width="13.42578125" style="65" bestFit="1" customWidth="1"/>
    <col min="2" max="2" width="12.28515625" style="65" bestFit="1" customWidth="1"/>
    <col min="3" max="3" width="12.7109375" style="65" bestFit="1" customWidth="1"/>
    <col min="4" max="4" width="14.140625" style="65" bestFit="1" customWidth="1"/>
    <col min="5" max="5" width="20.42578125" style="65" bestFit="1" customWidth="1"/>
    <col min="6" max="6" width="19.7109375" style="65" bestFit="1" customWidth="1"/>
    <col min="7" max="7" width="17.5703125" style="65" bestFit="1" customWidth="1"/>
    <col min="8" max="8" width="18" style="65" bestFit="1" customWidth="1"/>
    <col min="9" max="16384" width="9.140625" style="65"/>
  </cols>
  <sheetData>
    <row r="1" spans="1:8" ht="16.5" x14ac:dyDescent="0.25">
      <c r="A1" s="140" t="s">
        <v>46</v>
      </c>
      <c r="B1" s="141" t="s">
        <v>112</v>
      </c>
      <c r="C1" s="141" t="s">
        <v>111</v>
      </c>
      <c r="D1" s="141" t="s">
        <v>53</v>
      </c>
      <c r="E1" s="142" t="s">
        <v>45</v>
      </c>
      <c r="F1" s="142" t="s">
        <v>44</v>
      </c>
      <c r="G1" s="142" t="s">
        <v>43</v>
      </c>
      <c r="H1" s="141" t="s">
        <v>47</v>
      </c>
    </row>
    <row r="2" spans="1:8" x14ac:dyDescent="0.25">
      <c r="A2" s="143" t="s">
        <v>113</v>
      </c>
      <c r="B2" s="144">
        <v>24</v>
      </c>
      <c r="C2" s="144">
        <v>11.5</v>
      </c>
      <c r="D2" s="156">
        <v>23.001000000000001</v>
      </c>
      <c r="E2" s="146">
        <v>421</v>
      </c>
      <c r="F2" s="153">
        <v>25.026399999999999</v>
      </c>
      <c r="G2" s="146">
        <f t="shared" ref="G2:G8" si="0">F2+E2</f>
        <v>446.02640000000002</v>
      </c>
      <c r="H2" s="145">
        <v>470</v>
      </c>
    </row>
    <row r="3" spans="1:8" x14ac:dyDescent="0.25">
      <c r="A3" s="147" t="s">
        <v>114</v>
      </c>
      <c r="B3" s="148">
        <v>32</v>
      </c>
      <c r="C3" s="148">
        <v>12.6</v>
      </c>
      <c r="D3" s="151">
        <v>25.215599999999998</v>
      </c>
      <c r="E3" s="150">
        <v>879</v>
      </c>
      <c r="F3" s="154">
        <v>40.386499999999998</v>
      </c>
      <c r="G3" s="150">
        <f t="shared" si="0"/>
        <v>919.38649999999996</v>
      </c>
      <c r="H3" s="149">
        <v>612</v>
      </c>
    </row>
    <row r="4" spans="1:8" x14ac:dyDescent="0.25">
      <c r="A4" s="143" t="s">
        <v>115</v>
      </c>
      <c r="B4" s="144">
        <v>38</v>
      </c>
      <c r="C4" s="144">
        <v>16</v>
      </c>
      <c r="D4" s="156">
        <v>31.5884</v>
      </c>
      <c r="E4" s="146">
        <v>1729</v>
      </c>
      <c r="F4" s="153">
        <v>63.695300000000003</v>
      </c>
      <c r="G4" s="146">
        <f t="shared" si="0"/>
        <v>1792.6953000000001</v>
      </c>
      <c r="H4" s="145">
        <v>982</v>
      </c>
    </row>
    <row r="5" spans="1:8" x14ac:dyDescent="0.25">
      <c r="A5" s="147" t="s">
        <v>116</v>
      </c>
      <c r="B5" s="148">
        <v>43</v>
      </c>
      <c r="C5" s="148">
        <v>14.1</v>
      </c>
      <c r="D5" s="151">
        <v>29.677700000000002</v>
      </c>
      <c r="E5" s="150">
        <v>2139</v>
      </c>
      <c r="F5" s="154">
        <v>69.912999999999997</v>
      </c>
      <c r="G5" s="150">
        <f t="shared" si="0"/>
        <v>2208.913</v>
      </c>
      <c r="H5" s="149">
        <v>1067</v>
      </c>
    </row>
    <row r="6" spans="1:8" x14ac:dyDescent="0.25">
      <c r="A6" s="143" t="s">
        <v>117</v>
      </c>
      <c r="B6" s="144">
        <v>43</v>
      </c>
      <c r="C6" s="144">
        <v>16</v>
      </c>
      <c r="D6" s="156">
        <v>34.5944</v>
      </c>
      <c r="E6" s="146">
        <v>2581</v>
      </c>
      <c r="F6" s="153">
        <v>84.741</v>
      </c>
      <c r="G6" s="146">
        <f t="shared" si="0"/>
        <v>2665.741</v>
      </c>
      <c r="H6" s="145">
        <v>1278</v>
      </c>
    </row>
    <row r="7" spans="1:8" x14ac:dyDescent="0.25">
      <c r="A7" s="147" t="s">
        <v>118</v>
      </c>
      <c r="B7" s="148">
        <v>50</v>
      </c>
      <c r="C7" s="148">
        <v>15.8</v>
      </c>
      <c r="D7" s="151">
        <v>34.394599999999997</v>
      </c>
      <c r="E7" s="150">
        <v>3353</v>
      </c>
      <c r="F7" s="154">
        <v>83.700199999999995</v>
      </c>
      <c r="G7" s="150">
        <f t="shared" si="0"/>
        <v>3436.7002000000002</v>
      </c>
      <c r="H7" s="149">
        <v>1437</v>
      </c>
    </row>
    <row r="8" spans="1:8" ht="15.75" thickBot="1" x14ac:dyDescent="0.3">
      <c r="A8" s="21" t="s">
        <v>119</v>
      </c>
      <c r="B8" s="22">
        <v>56</v>
      </c>
      <c r="C8" s="22">
        <v>15</v>
      </c>
      <c r="D8" s="152">
        <v>34.855200000000004</v>
      </c>
      <c r="E8" s="25">
        <v>4199</v>
      </c>
      <c r="F8" s="155">
        <v>133.14500000000001</v>
      </c>
      <c r="G8" s="24">
        <f t="shared" si="0"/>
        <v>4332.1450000000004</v>
      </c>
      <c r="H8" s="23">
        <v>1617</v>
      </c>
    </row>
  </sheetData>
  <conditionalFormatting sqref="A10:H14 A9:G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{12C0D5ED-A630-4C16-963F-DBF2C5E2E2C6}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C0D5ED-A630-4C16-963F-DBF2C5E2E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A10:H14 A9:G9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Chaudhary, Nikhil</cp:lastModifiedBy>
  <cp:lastPrinted>2025-07-03T14:58:21Z</cp:lastPrinted>
  <dcterms:created xsi:type="dcterms:W3CDTF">2024-07-03T18:36:11Z</dcterms:created>
  <dcterms:modified xsi:type="dcterms:W3CDTF">2025-09-02T19:01:38Z</dcterms:modified>
</cp:coreProperties>
</file>