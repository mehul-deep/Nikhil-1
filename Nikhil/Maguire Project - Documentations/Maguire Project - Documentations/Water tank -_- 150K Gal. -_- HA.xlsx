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S Loaner 25\Desktop\Nikhil\Maguire Project - Documentations\"/>
    </mc:Choice>
  </mc:AlternateContent>
  <xr:revisionPtr revIDLastSave="0" documentId="13_ncr:1_{174B9080-977C-4312-A9BA-753477117155}" xr6:coauthVersionLast="47" xr6:coauthVersionMax="47" xr10:uidLastSave="{00000000-0000-0000-0000-000000000000}"/>
  <bookViews>
    <workbookView xWindow="-30" yWindow="10690" windowWidth="19420" windowHeight="10300" firstSheet="1" activeTab="1" xr2:uid="{B91C7E49-EC0C-40DC-B15D-CEEC794DF195}"/>
  </bookViews>
  <sheets>
    <sheet name="Total weight modified" sheetId="13" r:id="rId1"/>
    <sheet name="Design table" sheetId="17" r:id="rId2"/>
    <sheet name="Content, Snow and  miscell." sheetId="9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7" l="1"/>
  <c r="S3" i="17"/>
  <c r="M23" i="17"/>
  <c r="M24" i="17"/>
  <c r="M25" i="17"/>
  <c r="M26" i="17"/>
  <c r="M27" i="17"/>
  <c r="M28" i="17"/>
  <c r="M29" i="17"/>
  <c r="M30" i="17"/>
  <c r="M22" i="17"/>
  <c r="L23" i="17"/>
  <c r="L24" i="17"/>
  <c r="L25" i="17"/>
  <c r="L26" i="17"/>
  <c r="L27" i="17"/>
  <c r="L28" i="17"/>
  <c r="L29" i="17"/>
  <c r="L30" i="17"/>
  <c r="L22" i="17"/>
  <c r="K23" i="17"/>
  <c r="K24" i="17"/>
  <c r="K25" i="17"/>
  <c r="K26" i="17"/>
  <c r="K27" i="17"/>
  <c r="K28" i="17"/>
  <c r="K29" i="17"/>
  <c r="K30" i="17"/>
  <c r="K22" i="17"/>
  <c r="J23" i="17"/>
  <c r="J24" i="17"/>
  <c r="J25" i="17"/>
  <c r="J26" i="17"/>
  <c r="J27" i="17"/>
  <c r="J28" i="17"/>
  <c r="J29" i="17"/>
  <c r="J30" i="17"/>
  <c r="J22" i="17"/>
  <c r="I23" i="17"/>
  <c r="I24" i="17"/>
  <c r="I25" i="17"/>
  <c r="I26" i="17"/>
  <c r="I27" i="17"/>
  <c r="I28" i="17"/>
  <c r="I29" i="17"/>
  <c r="I30" i="17"/>
  <c r="I22" i="17"/>
  <c r="H23" i="17"/>
  <c r="H24" i="17"/>
  <c r="H25" i="17"/>
  <c r="H26" i="17"/>
  <c r="H27" i="17"/>
  <c r="H28" i="17"/>
  <c r="H29" i="17"/>
  <c r="H30" i="17"/>
  <c r="H22" i="17"/>
  <c r="G23" i="17"/>
  <c r="G24" i="17"/>
  <c r="G25" i="17"/>
  <c r="G26" i="17"/>
  <c r="G27" i="17"/>
  <c r="G28" i="17"/>
  <c r="G29" i="17"/>
  <c r="G30" i="17"/>
  <c r="G22" i="17"/>
  <c r="D23" i="17"/>
  <c r="D24" i="17"/>
  <c r="D25" i="17"/>
  <c r="D26" i="17"/>
  <c r="D27" i="17"/>
  <c r="D28" i="17"/>
  <c r="D29" i="17"/>
  <c r="D30" i="17"/>
  <c r="D22" i="17"/>
  <c r="B35" i="17"/>
  <c r="B36" i="17"/>
  <c r="B37" i="17"/>
  <c r="B38" i="17"/>
  <c r="C38" i="17"/>
  <c r="B39" i="17"/>
  <c r="C39" i="17"/>
  <c r="B34" i="17"/>
  <c r="F9" i="17"/>
  <c r="F10" i="17"/>
  <c r="F11" i="17"/>
  <c r="F12" i="17"/>
  <c r="F4" i="17"/>
  <c r="F5" i="17"/>
  <c r="F6" i="17"/>
  <c r="F7" i="17"/>
  <c r="F8" i="17"/>
  <c r="B12" i="13"/>
  <c r="K46" i="13"/>
  <c r="N46" i="13"/>
  <c r="N52" i="13"/>
  <c r="K52" i="13"/>
  <c r="O9" i="17"/>
  <c r="O8" i="17"/>
  <c r="H3" i="17"/>
  <c r="H8" i="17"/>
  <c r="H9" i="17" s="1"/>
  <c r="H10" i="17" s="1"/>
  <c r="G10" i="17"/>
  <c r="G11" i="17" s="1"/>
  <c r="G8" i="17"/>
  <c r="G9" i="17" s="1"/>
  <c r="C8" i="17"/>
  <c r="C9" i="17"/>
  <c r="B18" i="17"/>
  <c r="B17" i="17"/>
  <c r="A21" i="17" a="1"/>
  <c r="A21" i="17" s="1"/>
  <c r="A32" i="17" s="1" a="1"/>
  <c r="A32" i="17" s="1"/>
  <c r="G5" i="17"/>
  <c r="G6" i="17" s="1"/>
  <c r="G7" i="17" s="1"/>
  <c r="O12" i="17"/>
  <c r="O7" i="17"/>
  <c r="B12" i="17"/>
  <c r="B7" i="17"/>
  <c r="B6" i="17"/>
  <c r="B5" i="17"/>
  <c r="B4" i="17"/>
  <c r="C5" i="17"/>
  <c r="B73" i="13"/>
  <c r="B72" i="13"/>
  <c r="B71" i="13"/>
  <c r="I3" i="17" s="1"/>
  <c r="B70" i="13"/>
  <c r="G3" i="17" s="1"/>
  <c r="B69" i="13"/>
  <c r="D38" i="17" l="1"/>
  <c r="D39" i="17"/>
  <c r="H11" i="17"/>
  <c r="H12" i="17" s="1"/>
  <c r="G12" i="17"/>
  <c r="B76" i="13"/>
  <c r="B81" i="13"/>
  <c r="D5" i="17"/>
  <c r="E5" i="17"/>
  <c r="E6" i="16"/>
  <c r="D6" i="16"/>
  <c r="F4" i="16"/>
  <c r="F3" i="16"/>
  <c r="F2" i="16"/>
  <c r="F6" i="16" l="1"/>
  <c r="F5" i="16"/>
  <c r="E33" i="13"/>
  <c r="C11" i="17" l="1"/>
  <c r="Q5" i="13"/>
  <c r="Q4" i="13"/>
  <c r="B38" i="13"/>
  <c r="B39" i="13" s="1"/>
  <c r="B33" i="13"/>
  <c r="K15" i="13"/>
  <c r="E15" i="13"/>
  <c r="B17" i="13"/>
  <c r="B15" i="13"/>
  <c r="C7" i="17" s="1"/>
  <c r="B40" i="13"/>
  <c r="B36" i="13"/>
  <c r="E34" i="13" s="1"/>
  <c r="O11" i="17" s="1"/>
  <c r="H33" i="13"/>
  <c r="H30" i="13"/>
  <c r="I5" i="17" s="1"/>
  <c r="H20" i="13"/>
  <c r="B8" i="13"/>
  <c r="B7" i="13"/>
  <c r="B3" i="9"/>
  <c r="B5" i="9" s="1"/>
  <c r="C12" i="17" l="1"/>
  <c r="E12" i="17" s="1"/>
  <c r="B46" i="13"/>
  <c r="C10" i="17"/>
  <c r="H5" i="17"/>
  <c r="H6" i="17" s="1"/>
  <c r="H7" i="17" s="1"/>
  <c r="J3" i="17" a="1"/>
  <c r="B43" i="13"/>
  <c r="E7" i="17"/>
  <c r="D7" i="17"/>
  <c r="K20" i="13"/>
  <c r="C4" i="17"/>
  <c r="E30" i="13"/>
  <c r="I6" i="17" s="1"/>
  <c r="C6" i="17"/>
  <c r="B30" i="13"/>
  <c r="I7" i="17" s="1"/>
  <c r="B42" i="13"/>
  <c r="B45" i="13"/>
  <c r="Q10" i="13"/>
  <c r="Q11" i="13" s="1"/>
  <c r="Q13" i="13" s="1"/>
  <c r="E20" i="13"/>
  <c r="B20" i="13"/>
  <c r="B18" i="13"/>
  <c r="E16" i="13" s="1"/>
  <c r="B21" i="13"/>
  <c r="E36" i="13"/>
  <c r="H34" i="13" s="1"/>
  <c r="O10" i="17" s="1"/>
  <c r="B22" i="13"/>
  <c r="B24" i="13" s="1"/>
  <c r="E37" i="13"/>
  <c r="B47" i="13"/>
  <c r="B49" i="13" s="1"/>
  <c r="B52" i="13" s="1"/>
  <c r="E47" i="13"/>
  <c r="E49" i="13" s="1"/>
  <c r="B41" i="13"/>
  <c r="K30" i="13"/>
  <c r="B48" i="13"/>
  <c r="B50" i="13" s="1"/>
  <c r="D12" i="17" l="1"/>
  <c r="J3" i="17"/>
  <c r="J4" i="17" s="1"/>
  <c r="J5" i="17" s="1"/>
  <c r="J6" i="17" s="1"/>
  <c r="J7" i="17" s="1"/>
  <c r="J8" i="17" s="1"/>
  <c r="J9" i="17" s="1"/>
  <c r="J10" i="17" s="1"/>
  <c r="J11" i="17" s="1"/>
  <c r="J12" i="17" s="1"/>
  <c r="K4" i="17"/>
  <c r="K5" i="17" s="1"/>
  <c r="K6" i="17" s="1"/>
  <c r="K7" i="17" s="1"/>
  <c r="K8" i="17" s="1"/>
  <c r="K9" i="17" s="1"/>
  <c r="K10" i="17" s="1"/>
  <c r="K11" i="17" s="1"/>
  <c r="K12" i="17" s="1"/>
  <c r="I4" i="17"/>
  <c r="L4" i="17" s="1"/>
  <c r="L5" i="17" s="1"/>
  <c r="Q30" i="13"/>
  <c r="E6" i="17"/>
  <c r="D6" i="17"/>
  <c r="D4" i="17"/>
  <c r="C22" i="17" a="1"/>
  <c r="C22" i="17" s="1"/>
  <c r="E4" i="17"/>
  <c r="E38" i="13"/>
  <c r="E45" i="13" s="1"/>
  <c r="B11" i="17"/>
  <c r="E21" i="13"/>
  <c r="E29" i="13" s="1"/>
  <c r="O6" i="17"/>
  <c r="B23" i="13"/>
  <c r="B25" i="13" s="1"/>
  <c r="B27" i="13" s="1"/>
  <c r="P7" i="17" s="1"/>
  <c r="Q7" i="17" s="1"/>
  <c r="B44" i="13"/>
  <c r="B55" i="13" s="1"/>
  <c r="B56" i="13" s="1"/>
  <c r="B54" i="13" s="1"/>
  <c r="E18" i="13"/>
  <c r="E22" i="13"/>
  <c r="E24" i="13" s="1"/>
  <c r="B29" i="13"/>
  <c r="E48" i="13"/>
  <c r="E50" i="13" s="1"/>
  <c r="E52" i="13" s="1"/>
  <c r="P12" i="17"/>
  <c r="Q12" i="17" s="1"/>
  <c r="B51" i="13"/>
  <c r="M12" i="17" s="1"/>
  <c r="H36" i="13"/>
  <c r="H47" i="13"/>
  <c r="H49" i="13" s="1"/>
  <c r="E40" i="13"/>
  <c r="E42" i="13"/>
  <c r="P11" i="17" l="1"/>
  <c r="Q11" i="17" s="1"/>
  <c r="E46" i="13"/>
  <c r="H48" i="13"/>
  <c r="H50" i="13" s="1"/>
  <c r="R12" i="17"/>
  <c r="B26" i="13"/>
  <c r="M7" i="17" s="1"/>
  <c r="R7" i="17" s="1"/>
  <c r="I12" i="17"/>
  <c r="L6" i="17"/>
  <c r="L7" i="17" s="1"/>
  <c r="E11" i="17"/>
  <c r="D11" i="17"/>
  <c r="H16" i="13"/>
  <c r="O5" i="17" s="1"/>
  <c r="E23" i="13"/>
  <c r="E25" i="13" s="1"/>
  <c r="E51" i="13"/>
  <c r="B53" i="13"/>
  <c r="E41" i="13"/>
  <c r="E44" i="13" s="1"/>
  <c r="E39" i="13"/>
  <c r="E43" i="13" s="1"/>
  <c r="H37" i="13"/>
  <c r="B10" i="17" l="1"/>
  <c r="H46" i="13"/>
  <c r="H52" i="13"/>
  <c r="P10" i="17" s="1"/>
  <c r="Q10" i="17" s="1"/>
  <c r="K47" i="13"/>
  <c r="K49" i="13" s="1"/>
  <c r="K36" i="13"/>
  <c r="B28" i="13"/>
  <c r="H38" i="13"/>
  <c r="E53" i="13"/>
  <c r="M11" i="17"/>
  <c r="R11" i="17" s="1"/>
  <c r="E27" i="13"/>
  <c r="P6" i="17" s="1"/>
  <c r="Q6" i="17" s="1"/>
  <c r="E26" i="13"/>
  <c r="M6" i="17" s="1"/>
  <c r="H22" i="13"/>
  <c r="H24" i="13" s="1"/>
  <c r="H18" i="13"/>
  <c r="H21" i="13"/>
  <c r="H29" i="13" s="1"/>
  <c r="E55" i="13"/>
  <c r="E56" i="13" s="1"/>
  <c r="E54" i="13" s="1"/>
  <c r="H42" i="13"/>
  <c r="H40" i="13"/>
  <c r="K48" i="13" l="1"/>
  <c r="K50" i="13" s="1"/>
  <c r="P9" i="17" s="1"/>
  <c r="Q9" i="17" s="1"/>
  <c r="H45" i="13"/>
  <c r="H51" i="13" s="1"/>
  <c r="B9" i="17"/>
  <c r="R6" i="17"/>
  <c r="D10" i="17"/>
  <c r="E10" i="17"/>
  <c r="I11" i="17"/>
  <c r="K16" i="13"/>
  <c r="O4" i="17" s="1"/>
  <c r="H23" i="13"/>
  <c r="H25" i="13" s="1"/>
  <c r="E28" i="13"/>
  <c r="H41" i="13"/>
  <c r="H44" i="13" s="1"/>
  <c r="H39" i="13"/>
  <c r="H43" i="13" s="1"/>
  <c r="M10" i="17" l="1"/>
  <c r="R10" i="17" s="1"/>
  <c r="D9" i="17"/>
  <c r="E9" i="17"/>
  <c r="H53" i="13"/>
  <c r="K40" i="13"/>
  <c r="K42" i="13"/>
  <c r="K45" i="13"/>
  <c r="K51" i="13" s="1"/>
  <c r="N47" i="13"/>
  <c r="N49" i="13" s="1"/>
  <c r="N36" i="13"/>
  <c r="N48" i="13" s="1"/>
  <c r="N50" i="13" s="1"/>
  <c r="H27" i="13"/>
  <c r="P5" i="17" s="1"/>
  <c r="Q5" i="17" s="1"/>
  <c r="H26" i="13"/>
  <c r="M5" i="17" s="1"/>
  <c r="K21" i="13"/>
  <c r="K29" i="13" s="1"/>
  <c r="K22" i="13"/>
  <c r="K24" i="13" s="1"/>
  <c r="K18" i="13"/>
  <c r="B61" i="13" s="1"/>
  <c r="H55" i="13"/>
  <c r="H56" i="13" s="1"/>
  <c r="H54" i="13" s="1"/>
  <c r="K53" i="13" l="1"/>
  <c r="M9" i="17"/>
  <c r="R9" i="17" s="1"/>
  <c r="N37" i="13"/>
  <c r="B8" i="17" s="1"/>
  <c r="K41" i="13"/>
  <c r="K44" i="13" s="1"/>
  <c r="K39" i="13"/>
  <c r="K43" i="13" s="1"/>
  <c r="P8" i="17"/>
  <c r="Q8" i="17" s="1"/>
  <c r="R5" i="17"/>
  <c r="I10" i="17"/>
  <c r="B62" i="13"/>
  <c r="B64" i="13" s="1"/>
  <c r="B66" i="13" s="1"/>
  <c r="O3" i="17"/>
  <c r="B68" i="13"/>
  <c r="P3" i="17" s="1"/>
  <c r="B63" i="13"/>
  <c r="B65" i="13" s="1"/>
  <c r="H28" i="13"/>
  <c r="K23" i="13"/>
  <c r="K25" i="13" s="1"/>
  <c r="K27" i="13" s="1"/>
  <c r="P4" i="17" s="1"/>
  <c r="Q4" i="17" s="1"/>
  <c r="D8" i="17" l="1"/>
  <c r="E22" i="17" s="1" a="1"/>
  <c r="E22" i="17" s="1"/>
  <c r="E8" i="17"/>
  <c r="B22" i="17" a="1"/>
  <c r="Q3" i="17"/>
  <c r="K55" i="13"/>
  <c r="K56" i="13" s="1"/>
  <c r="K54" i="13" s="1"/>
  <c r="N40" i="13"/>
  <c r="N42" i="13"/>
  <c r="B67" i="13"/>
  <c r="K26" i="13"/>
  <c r="Q26" i="13" s="1"/>
  <c r="N45" i="13" l="1"/>
  <c r="N51" i="13" s="1"/>
  <c r="I9" i="17"/>
  <c r="B22" i="17"/>
  <c r="F22" i="17" a="1"/>
  <c r="N39" i="13"/>
  <c r="N43" i="13" s="1"/>
  <c r="N41" i="13"/>
  <c r="N44" i="13" s="1"/>
  <c r="M3" i="17"/>
  <c r="K28" i="13"/>
  <c r="Q28" i="13" s="1"/>
  <c r="M4" i="17"/>
  <c r="R4" i="17" s="1"/>
  <c r="M8" i="17" l="1"/>
  <c r="S12" i="17" s="1"/>
  <c r="C42" i="17" s="1"/>
  <c r="Q51" i="13"/>
  <c r="B74" i="13" s="1"/>
  <c r="N53" i="13"/>
  <c r="Q53" i="13" s="1"/>
  <c r="B80" i="13" s="1"/>
  <c r="N55" i="13"/>
  <c r="N56" i="13" s="1"/>
  <c r="N54" i="13" s="1"/>
  <c r="F22" i="17"/>
  <c r="S4" i="17"/>
  <c r="S7" i="17"/>
  <c r="C37" i="17" s="1"/>
  <c r="S6" i="17"/>
  <c r="C36" i="17" s="1"/>
  <c r="R3" i="17"/>
  <c r="S5" i="17"/>
  <c r="C35" i="17" s="1"/>
  <c r="N3" i="17"/>
  <c r="N4" i="17" s="1"/>
  <c r="N5" i="17" s="1"/>
  <c r="N6" i="17" s="1"/>
  <c r="N7" i="17" s="1"/>
  <c r="N8" i="17" l="1"/>
  <c r="N9" i="17" s="1"/>
  <c r="N10" i="17" s="1"/>
  <c r="N11" i="17" s="1"/>
  <c r="N12" i="17" s="1"/>
  <c r="S9" i="17"/>
  <c r="S10" i="17"/>
  <c r="C40" i="17" s="1"/>
  <c r="R8" i="17"/>
  <c r="S8" i="17" s="1"/>
  <c r="S11" i="17"/>
  <c r="C41" i="17" s="1"/>
  <c r="Q56" i="13"/>
  <c r="B77" i="13" s="1"/>
  <c r="B82" i="13" s="1"/>
  <c r="Q15" i="13" s="1"/>
  <c r="I8" i="17"/>
  <c r="L8" i="17" s="1"/>
  <c r="L9" i="17" s="1"/>
  <c r="L10" i="17" s="1"/>
  <c r="N21" i="17" a="1"/>
  <c r="N21" i="17" s="1"/>
  <c r="L11" i="17" l="1"/>
  <c r="B41" i="17" s="1"/>
  <c r="D41" i="17" s="1"/>
  <c r="B40" i="17"/>
  <c r="D40" i="17" s="1"/>
  <c r="D37" i="17"/>
  <c r="D34" i="17"/>
  <c r="D36" i="17"/>
  <c r="D35" i="17"/>
  <c r="Q14" i="13"/>
  <c r="Q16" i="13" s="1"/>
  <c r="B83" i="13"/>
  <c r="B79" i="13"/>
  <c r="L12" i="17" l="1"/>
  <c r="B42" i="17" s="1"/>
  <c r="D42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<sst xmlns="http://schemas.openxmlformats.org/spreadsheetml/2006/main" count="542" uniqueCount="151">
  <si>
    <t>weight</t>
  </si>
  <si>
    <t>kips</t>
  </si>
  <si>
    <t>in</t>
  </si>
  <si>
    <t>ft</t>
  </si>
  <si>
    <t>Thickness</t>
  </si>
  <si>
    <t>Weight</t>
  </si>
  <si>
    <t>Top diameter</t>
  </si>
  <si>
    <t>Bottom diameter</t>
  </si>
  <si>
    <t>Height of the cone</t>
  </si>
  <si>
    <t>S1</t>
  </si>
  <si>
    <t>S2</t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</si>
  <si>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</si>
  <si>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t>V1</t>
  </si>
  <si>
    <t xml:space="preserve">V </t>
  </si>
  <si>
    <t>V</t>
  </si>
  <si>
    <t>a</t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</si>
  <si>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</si>
  <si>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</si>
  <si>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</si>
  <si>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</si>
  <si>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t>Ri</t>
  </si>
  <si>
    <r>
      <t>I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</si>
  <si>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</si>
  <si>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t>Ai</t>
  </si>
  <si>
    <t>Ti</t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</si>
  <si>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</si>
  <si>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t>Ts</t>
  </si>
  <si>
    <t>l</t>
  </si>
  <si>
    <t>seismic base shear</t>
  </si>
  <si>
    <t>g</t>
  </si>
  <si>
    <t>sec</t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</si>
  <si>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</si>
  <si>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t>C</t>
  </si>
  <si>
    <t>mph</t>
  </si>
  <si>
    <t>G</t>
  </si>
  <si>
    <t>psf</t>
  </si>
  <si>
    <t>F</t>
  </si>
  <si>
    <t>I</t>
  </si>
  <si>
    <t>weight of steel</t>
  </si>
  <si>
    <t>Snow Load</t>
  </si>
  <si>
    <t>Roof snow load</t>
  </si>
  <si>
    <t>diameter to consider</t>
  </si>
  <si>
    <t>area</t>
  </si>
  <si>
    <t>Snow load</t>
  </si>
  <si>
    <t>miscellaneous load</t>
  </si>
  <si>
    <t>frustum weight 1</t>
  </si>
  <si>
    <t>cylinder weight 1</t>
  </si>
  <si>
    <t>Diameter of the cylinder</t>
  </si>
  <si>
    <t>Height of the cylinder</t>
  </si>
  <si>
    <t>S3</t>
  </si>
  <si>
    <t>S4</t>
  </si>
  <si>
    <t>V2</t>
  </si>
  <si>
    <t>cylinder weight 2</t>
  </si>
  <si>
    <t>cylinder weight 3</t>
  </si>
  <si>
    <t>cylinder weight 4</t>
  </si>
  <si>
    <t>frustum weight 2</t>
  </si>
  <si>
    <t>frustum weight 3</t>
  </si>
  <si>
    <t>frustum weight 4</t>
  </si>
  <si>
    <t>frustum weight 5</t>
  </si>
  <si>
    <t>weight of water</t>
  </si>
  <si>
    <r>
      <t>ft</t>
    </r>
    <r>
      <rPr>
        <vertAlign val="superscript"/>
        <sz val="11"/>
        <rFont val="Times New Roman"/>
        <family val="1"/>
      </rPr>
      <t>2</t>
    </r>
  </si>
  <si>
    <r>
      <t>ft</t>
    </r>
    <r>
      <rPr>
        <vertAlign val="superscript"/>
        <sz val="11"/>
        <rFont val="Times New Roman"/>
        <family val="1"/>
      </rPr>
      <t>3</t>
    </r>
  </si>
  <si>
    <r>
      <t>ft</t>
    </r>
    <r>
      <rPr>
        <b/>
        <vertAlign val="superscript"/>
        <sz val="11"/>
        <rFont val="Times New Roman"/>
        <family val="1"/>
      </rPr>
      <t>3</t>
    </r>
  </si>
  <si>
    <r>
      <t>h</t>
    </r>
    <r>
      <rPr>
        <vertAlign val="subscript"/>
        <sz val="11"/>
        <color rgb="FFC00000"/>
        <rFont val="Times New Roman"/>
        <family val="1"/>
      </rPr>
      <t>i</t>
    </r>
  </si>
  <si>
    <r>
      <t>h</t>
    </r>
    <r>
      <rPr>
        <vertAlign val="subscript"/>
        <sz val="11"/>
        <color rgb="FFC00000"/>
        <rFont val="Times New Roman"/>
        <family val="1"/>
      </rPr>
      <t>f</t>
    </r>
  </si>
  <si>
    <t>COM</t>
  </si>
  <si>
    <r>
      <t>A</t>
    </r>
    <r>
      <rPr>
        <vertAlign val="subscript"/>
        <sz val="11"/>
        <color theme="1"/>
        <rFont val="Times New Roman"/>
        <family val="1"/>
      </rPr>
      <t>wind</t>
    </r>
  </si>
  <si>
    <r>
      <t>ft</t>
    </r>
    <r>
      <rPr>
        <vertAlign val="superscript"/>
        <sz val="11"/>
        <color theme="1"/>
        <rFont val="Times New Roman"/>
        <family val="1"/>
      </rPr>
      <t>2</t>
    </r>
  </si>
  <si>
    <t>exposure</t>
  </si>
  <si>
    <r>
      <t>q</t>
    </r>
    <r>
      <rPr>
        <vertAlign val="subscript"/>
        <sz val="11"/>
        <color theme="1"/>
        <rFont val="Times New Roman"/>
        <family val="1"/>
      </rPr>
      <t>zi</t>
    </r>
  </si>
  <si>
    <r>
      <t>q</t>
    </r>
    <r>
      <rPr>
        <vertAlign val="subscript"/>
        <sz val="11"/>
        <color theme="1"/>
        <rFont val="Times New Roman"/>
        <family val="1"/>
      </rPr>
      <t>zf</t>
    </r>
  </si>
  <si>
    <t>F location</t>
  </si>
  <si>
    <r>
      <t>k</t>
    </r>
    <r>
      <rPr>
        <vertAlign val="subscript"/>
        <sz val="11"/>
        <color theme="1"/>
        <rFont val="Times New Roman"/>
        <family val="1"/>
      </rPr>
      <t>zi</t>
    </r>
  </si>
  <si>
    <r>
      <t>k</t>
    </r>
    <r>
      <rPr>
        <vertAlign val="subscript"/>
        <sz val="11"/>
        <color theme="1"/>
        <rFont val="Times New Roman"/>
        <family val="1"/>
      </rPr>
      <t>zf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</si>
  <si>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</si>
  <si>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</si>
  <si>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</si>
  <si>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</si>
  <si>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</si>
  <si>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</si>
  <si>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</si>
  <si>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</si>
  <si>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</si>
  <si>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</si>
  <si>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</si>
  <si>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t xml:space="preserve">Sequence number 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</si>
  <si>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</si>
  <si>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</si>
  <si>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</si>
  <si>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</si>
  <si>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L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</si>
  <si>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</si>
  <si>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</si>
  <si>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</si>
  <si>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</si>
  <si>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</si>
  <si>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</si>
  <si>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</si>
  <si>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</si>
  <si>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</si>
  <si>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</si>
  <si>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</si>
  <si>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</si>
  <si>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</si>
  <si>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</si>
  <si>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</si>
  <si>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>ft</t>
    </r>
    <r>
      <rPr>
        <vertAlign val="superscript"/>
        <sz val="11"/>
        <color rgb="FFC00000"/>
        <rFont val="Times New Roman"/>
        <family val="1"/>
      </rPr>
      <t>2</t>
    </r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</si>
  <si>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</si>
  <si>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</si>
  <si>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</si>
  <si>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</si>
  <si>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</si>
  <si>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Centroied (ft)</t>
  </si>
  <si>
    <t>"missing"</t>
  </si>
  <si>
    <t>Segement</t>
  </si>
  <si>
    <t>Base Elevation(ft)</t>
  </si>
  <si>
    <t>Diameter(in)</t>
  </si>
  <si>
    <t>Thickness(in)</t>
  </si>
  <si>
    <t>Tank</t>
  </si>
  <si>
    <t>-</t>
  </si>
  <si>
    <t>Gravity Loads (per segemnet)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</si>
  <si>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</si>
  <si>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</si>
  <si>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</si>
  <si>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</si>
  <si>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</si>
  <si>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</si>
  <si>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Gravity Loads (cumulative)</t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</si>
  <si>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</si>
  <si>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</si>
  <si>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</si>
  <si>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>l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</si>
  <si>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</si>
  <si>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k</t>
    </r>
    <r>
      <rPr>
        <vertAlign val="subscript"/>
        <sz val="11"/>
        <color theme="1"/>
        <rFont val="GreekC"/>
      </rPr>
      <t>f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</si>
  <si>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</si>
  <si>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</si>
  <si>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</si>
  <si>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</si>
  <si>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</si>
  <si>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rPr>
        <sz val="11"/>
        <color rgb="FFFF0000"/>
        <rFont val="Aptos Narrow"/>
        <family val="2"/>
        <scheme val="minor"/>
      </rP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</si>
  <si>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Ksi</t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</si>
  <si>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</si>
  <si>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</si>
  <si>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Arm length</t>
  </si>
  <si>
    <t>F x Arm</t>
  </si>
  <si>
    <t xml:space="preserve"> load location</t>
  </si>
  <si>
    <t>Fy</t>
  </si>
  <si>
    <t>Totals  reactions</t>
  </si>
  <si>
    <t>Seismic base moment</t>
  </si>
  <si>
    <r>
      <rPr>
        <b/>
        <i/>
        <sz val="11"/>
        <color theme="1"/>
        <rFont val="GreekC"/>
      </rPr>
      <t>l</t>
    </r>
    <r>
      <rPr>
        <b/>
        <i/>
        <sz val="11"/>
        <color theme="1"/>
        <rFont val="Aptos Narrow"/>
        <family val="2"/>
        <scheme val="minor"/>
      </rPr>
      <t>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</si>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</sst>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GreekC"/>
    </font>
    <font>
      <b/>
      <sz val="13"/>
      <color theme="3"/>
      <name val="Aptos Narrow"/>
      <family val="2"/>
      <scheme val="minor"/>
    </font>
    <font>
      <b/>
      <sz val="13"/>
      <color theme="3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rgb="FFC00000"/>
      <name val="Aptos Narrow"/>
      <family val="2"/>
      <scheme val="minor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bscript"/>
      <sz val="11"/>
      <color rgb="FFC00000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GreekC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rgb="FFC00000"/>
      <name val="Times New Roman"/>
      <family val="1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Greek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7" fillId="0" borderId="12" applyNumberFormat="0" applyFill="0" applyAlignment="0" applyProtection="0"/>
    <xf numFmtId="0" fontId="1" fillId="0" borderId="13" applyNumberFormat="0" applyFill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2" fontId="17" fillId="3" borderId="22" xfId="0" applyNumberFormat="1" applyFont="1" applyFill="1" applyBorder="1" applyAlignment="1">
      <alignment horizontal="center"/>
    </xf>
    <xf numFmtId="2" fontId="17" fillId="3" borderId="21" xfId="0" applyNumberFormat="1" applyFont="1" applyFill="1" applyBorder="1" applyAlignment="1">
      <alignment horizontal="center"/>
    </xf>
    <xf numFmtId="2" fontId="17" fillId="2" borderId="22" xfId="0" applyNumberFormat="1" applyFont="1" applyFill="1" applyBorder="1" applyAlignment="1">
      <alignment horizontal="center"/>
    </xf>
    <xf numFmtId="2" fontId="17" fillId="2" borderId="21" xfId="0" applyNumberFormat="1" applyFont="1" applyFill="1" applyBorder="1" applyAlignment="1">
      <alignment horizontal="center"/>
    </xf>
    <xf numFmtId="2" fontId="12" fillId="3" borderId="21" xfId="0" applyNumberFormat="1" applyFont="1" applyFill="1" applyBorder="1" applyAlignment="1">
      <alignment horizontal="center"/>
    </xf>
    <xf numFmtId="2" fontId="14" fillId="3" borderId="23" xfId="0" applyNumberFormat="1" applyFont="1" applyFill="1" applyBorder="1" applyAlignment="1">
      <alignment horizontal="center"/>
    </xf>
    <xf numFmtId="2" fontId="12" fillId="2" borderId="21" xfId="0" applyNumberFormat="1" applyFont="1" applyFill="1" applyBorder="1" applyAlignment="1">
      <alignment horizontal="center"/>
    </xf>
    <xf numFmtId="2" fontId="14" fillId="2" borderId="23" xfId="0" applyNumberFormat="1" applyFont="1" applyFill="1" applyBorder="1" applyAlignment="1">
      <alignment horizontal="center"/>
    </xf>
    <xf numFmtId="2" fontId="9" fillId="2" borderId="21" xfId="0" applyNumberFormat="1" applyFont="1" applyFill="1" applyBorder="1" applyAlignment="1">
      <alignment horizontal="center"/>
    </xf>
    <xf numFmtId="2" fontId="14" fillId="2" borderId="21" xfId="0" applyNumberFormat="1" applyFont="1" applyFill="1" applyBorder="1" applyAlignment="1">
      <alignment horizontal="center"/>
    </xf>
    <xf numFmtId="2" fontId="9" fillId="3" borderId="21" xfId="0" applyNumberFormat="1" applyFont="1" applyFill="1" applyBorder="1" applyAlignment="1">
      <alignment horizontal="center"/>
    </xf>
    <xf numFmtId="2" fontId="14" fillId="3" borderId="21" xfId="0" applyNumberFormat="1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7" fillId="3" borderId="24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/>
    </xf>
    <xf numFmtId="0" fontId="8" fillId="2" borderId="0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2" fontId="12" fillId="0" borderId="21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4" borderId="29" xfId="0" applyFill="1" applyBorder="1" applyAlignment="1">
      <alignment horizontal="center"/>
    </xf>
    <xf numFmtId="1" fontId="0" fillId="4" borderId="29" xfId="0" applyNumberFormat="1" applyFill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4" borderId="34" xfId="0" applyNumberFormat="1" applyFill="1" applyBorder="1" applyAlignment="1">
      <alignment horizontal="center"/>
    </xf>
    <xf numFmtId="0" fontId="8" fillId="3" borderId="38" xfId="2" applyFont="1" applyFill="1" applyBorder="1" applyAlignment="1">
      <alignment horizontal="center"/>
    </xf>
    <xf numFmtId="0" fontId="8" fillId="2" borderId="38" xfId="2" applyFont="1" applyFill="1" applyBorder="1" applyAlignment="1">
      <alignment horizontal="center"/>
    </xf>
    <xf numFmtId="0" fontId="0" fillId="2" borderId="4" xfId="0" applyFill="1" applyBorder="1" applyAlignment="1">
      <alignment vertical="top"/>
    </xf>
    <xf numFmtId="0" fontId="0" fillId="2" borderId="0" xfId="0" applyFill="1" applyAlignment="1">
      <alignment vertical="top"/>
    </xf>
    <xf numFmtId="0" fontId="12" fillId="2" borderId="1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27" fillId="4" borderId="35" xfId="0" applyFont="1" applyFill="1" applyBorder="1" applyAlignment="1">
      <alignment horizontal="center"/>
    </xf>
    <xf numFmtId="0" fontId="27" fillId="4" borderId="36" xfId="0" applyFont="1" applyFill="1" applyBorder="1" applyAlignment="1">
      <alignment horizontal="center"/>
    </xf>
    <xf numFmtId="1" fontId="27" fillId="4" borderId="36" xfId="0" applyNumberFormat="1" applyFont="1" applyFill="1" applyBorder="1" applyAlignment="1">
      <alignment horizontal="center"/>
    </xf>
    <xf numFmtId="0" fontId="27" fillId="4" borderId="37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27" fillId="4" borderId="41" xfId="0" applyFont="1" applyFill="1" applyBorder="1" applyAlignment="1">
      <alignment horizontal="center"/>
    </xf>
    <xf numFmtId="2" fontId="20" fillId="2" borderId="42" xfId="0" applyNumberFormat="1" applyFont="1" applyFill="1" applyBorder="1" applyAlignment="1">
      <alignment horizontal="center"/>
    </xf>
    <xf numFmtId="2" fontId="20" fillId="2" borderId="43" xfId="0" applyNumberFormat="1" applyFont="1" applyFill="1" applyBorder="1" applyAlignment="1">
      <alignment horizontal="center"/>
    </xf>
    <xf numFmtId="0" fontId="20" fillId="2" borderId="43" xfId="0" applyFont="1" applyFill="1" applyBorder="1" applyAlignment="1">
      <alignment horizontal="center"/>
    </xf>
    <xf numFmtId="164" fontId="20" fillId="2" borderId="43" xfId="0" applyNumberFormat="1" applyFont="1" applyFill="1" applyBorder="1" applyAlignment="1">
      <alignment horizontal="center"/>
    </xf>
    <xf numFmtId="0" fontId="20" fillId="2" borderId="44" xfId="0" applyFont="1" applyFill="1" applyBorder="1" applyAlignment="1">
      <alignment horizontal="center"/>
    </xf>
    <xf numFmtId="2" fontId="13" fillId="2" borderId="4" xfId="0" applyNumberFormat="1" applyFont="1" applyFill="1" applyBorder="1" applyAlignment="1">
      <alignment horizontal="center"/>
    </xf>
    <xf numFmtId="2" fontId="13" fillId="2" borderId="5" xfId="0" applyNumberFormat="1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7" fillId="2" borderId="10" xfId="0" applyFont="1" applyFill="1" applyBorder="1" applyAlignment="1">
      <alignment horizontal="center"/>
    </xf>
    <xf numFmtId="0" fontId="27" fillId="2" borderId="9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7" fontId="0" fillId="2" borderId="0" xfId="1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8" fillId="3" borderId="0" xfId="2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13" fillId="2" borderId="27" xfId="0" applyFont="1" applyFill="1" applyBorder="1" applyAlignment="1">
      <alignment horizontal="center"/>
    </xf>
    <xf numFmtId="0" fontId="12" fillId="2" borderId="46" xfId="0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0" fontId="14" fillId="2" borderId="27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48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164" fontId="14" fillId="2" borderId="7" xfId="0" applyNumberFormat="1" applyFont="1" applyFill="1" applyBorder="1" applyAlignment="1">
      <alignment horizontal="center"/>
    </xf>
    <xf numFmtId="2" fontId="13" fillId="2" borderId="0" xfId="0" applyNumberFormat="1" applyFont="1" applyFill="1" applyAlignment="1">
      <alignment horizontal="center"/>
    </xf>
    <xf numFmtId="2" fontId="12" fillId="2" borderId="7" xfId="0" applyNumberFormat="1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164" fontId="14" fillId="2" borderId="9" xfId="0" applyNumberFormat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50" xfId="0" applyFont="1" applyFill="1" applyBorder="1" applyAlignment="1">
      <alignment horizontal="center"/>
    </xf>
    <xf numFmtId="164" fontId="14" fillId="2" borderId="51" xfId="0" applyNumberFormat="1" applyFont="1" applyFill="1" applyBorder="1" applyAlignment="1">
      <alignment horizontal="center"/>
    </xf>
    <xf numFmtId="0" fontId="14" fillId="2" borderId="40" xfId="0" applyFont="1" applyFill="1" applyBorder="1" applyAlignment="1">
      <alignment horizontal="center"/>
    </xf>
    <xf numFmtId="0" fontId="12" fillId="2" borderId="50" xfId="0" applyFont="1" applyFill="1" applyBorder="1" applyAlignment="1">
      <alignment horizontal="center"/>
    </xf>
    <xf numFmtId="2" fontId="12" fillId="2" borderId="51" xfId="0" applyNumberFormat="1" applyFont="1" applyFill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2" borderId="4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1" fillId="2" borderId="49" xfId="3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3" borderId="17" xfId="2" applyFont="1" applyFill="1" applyBorder="1" applyAlignment="1">
      <alignment horizontal="center"/>
    </xf>
    <xf numFmtId="0" fontId="8" fillId="3" borderId="18" xfId="2" applyFont="1" applyFill="1" applyBorder="1" applyAlignment="1">
      <alignment horizontal="center"/>
    </xf>
    <xf numFmtId="0" fontId="8" fillId="3" borderId="19" xfId="2" applyFont="1" applyFill="1" applyBorder="1" applyAlignment="1">
      <alignment horizontal="center"/>
    </xf>
    <xf numFmtId="0" fontId="8" fillId="2" borderId="17" xfId="2" applyFont="1" applyFill="1" applyBorder="1" applyAlignment="1">
      <alignment horizontal="center"/>
    </xf>
    <xf numFmtId="0" fontId="8" fillId="2" borderId="18" xfId="2" applyFont="1" applyFill="1" applyBorder="1" applyAlignment="1">
      <alignment horizontal="center"/>
    </xf>
    <xf numFmtId="0" fontId="8" fillId="2" borderId="19" xfId="2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R84"/>
  <sheetViews>
    <sheetView view="pageLayout" topLeftCell="A55" zoomScale="72" zoomScaleNormal="85" zoomScalePageLayoutView="72" workbookViewId="0">
      <selection activeCell="B61" sqref="B61"/>
    </sheetView>
  </sheetViews>
  <sheetFormatPr defaultRowHeight="15"/>
  <cols>
    <col min="1" max="1" width="32.28515625" style="2" bestFit="1" customWidth="1"/>
    <col min="2" max="2" width="14.85546875" style="2" bestFit="1" customWidth="1"/>
    <col min="3" max="3" width="5.85546875" style="2" bestFit="1" customWidth="1"/>
    <col min="4" max="4" width="23.5703125" style="2" customWidth="1"/>
    <col min="5" max="5" width="14.85546875" style="2" bestFit="1" customWidth="1"/>
    <col min="6" max="6" width="7.140625" style="2" bestFit="1" customWidth="1"/>
    <col min="7" max="7" width="30" style="2" bestFit="1" customWidth="1"/>
    <col min="8" max="8" width="14.85546875" style="2" bestFit="1" customWidth="1"/>
    <col min="9" max="9" width="5" style="2" bestFit="1" customWidth="1"/>
    <col min="10" max="10" width="30" style="2" bestFit="1" customWidth="1"/>
    <col min="11" max="11" width="14.85546875" style="2" bestFit="1" customWidth="1"/>
    <col min="12" max="12" width="6.28515625" style="2" bestFit="1" customWidth="1"/>
    <col min="13" max="13" width="30" style="2" bestFit="1" customWidth="1"/>
    <col min="14" max="14" width="14.85546875" style="2" bestFit="1" customWidth="1"/>
    <col min="15" max="15" width="16.140625" style="2" bestFit="1" customWidth="1"/>
    <col min="16" max="16" width="23.5703125" style="2" customWidth="1"/>
    <col min="17" max="17" width="7.5703125" style="2" bestFit="1" customWidth="1"/>
    <col min="18" max="18" width="6.7109375" style="2" bestFit="1" customWidth="1"/>
    <col min="19" max="19" width="22.28515625" style="2" bestFit="1" customWidth="1"/>
    <col min="20" max="20" width="9.28515625" style="2" bestFit="1" customWidth="1"/>
    <col min="21" max="21" width="14.7109375" style="2" bestFit="1" customWidth="1"/>
    <col min="22" max="16384" width="9.140625" style="2"/>
  </cols>
  <sheetData>
    <row r="1" spans="1:18" ht="15.75" thickBot="1">
      <c r="A1" s="177" t="s">
        <v>78</v>
      </c>
      <c r="B1" s="178"/>
      <c r="C1" s="179"/>
      <c r="D1" s="90"/>
      <c r="E1" s="91"/>
      <c r="F1" s="91"/>
      <c r="P1" s="170" t="s">
        <v>28</v>
      </c>
      <c r="Q1" s="171"/>
      <c r="R1" s="172"/>
    </row>
    <row r="2" spans="1:18" ht="18">
      <c r="A2" s="29" t="s">
        <v>74</v>
      </c>
      <c r="B2" s="104">
        <v>1</v>
      </c>
      <c r="C2" s="30"/>
      <c r="P2" s="140" t="s">
        <v>16</v>
      </c>
      <c r="Q2" s="141">
        <v>6.8000000000000005E-2</v>
      </c>
      <c r="R2" s="149" t="s">
        <v>29</v>
      </c>
    </row>
    <row r="3" spans="1:18" ht="18">
      <c r="A3" s="31" t="s">
        <v>75</v>
      </c>
      <c r="B3" s="105">
        <v>1</v>
      </c>
      <c r="C3" s="32"/>
      <c r="P3" s="140" t="s">
        <v>17</v>
      </c>
      <c r="Q3" s="141">
        <v>3.1E-2</v>
      </c>
      <c r="R3" s="149" t="s">
        <v>29</v>
      </c>
    </row>
    <row r="4" spans="1:18" ht="18">
      <c r="A4" s="31" t="s">
        <v>37</v>
      </c>
      <c r="B4" s="106">
        <v>1.1499999999999999</v>
      </c>
      <c r="C4" s="32"/>
      <c r="P4" s="140" t="s">
        <v>18</v>
      </c>
      <c r="Q4" s="141">
        <f>2/3*1.6*Q2</f>
        <v>7.2533333333333339E-2</v>
      </c>
      <c r="R4" s="149" t="s">
        <v>29</v>
      </c>
    </row>
    <row r="5" spans="1:18" ht="18">
      <c r="A5" s="31" t="s">
        <v>14</v>
      </c>
      <c r="B5" s="107">
        <v>90</v>
      </c>
      <c r="C5" s="32" t="s">
        <v>33</v>
      </c>
      <c r="P5" s="140" t="s">
        <v>19</v>
      </c>
      <c r="Q5" s="141">
        <f>2/3*2.4*Q3</f>
        <v>4.9599999999999998E-2</v>
      </c>
      <c r="R5" s="149" t="s">
        <v>29</v>
      </c>
    </row>
    <row r="6" spans="1:18">
      <c r="A6" s="31" t="s">
        <v>68</v>
      </c>
      <c r="B6" s="106" t="s">
        <v>32</v>
      </c>
      <c r="C6" s="32"/>
      <c r="P6" s="140" t="s">
        <v>20</v>
      </c>
      <c r="Q6" s="141">
        <v>3</v>
      </c>
      <c r="R6" s="149"/>
    </row>
    <row r="7" spans="1:18" ht="18">
      <c r="A7" s="31" t="s">
        <v>15</v>
      </c>
      <c r="B7" s="106">
        <f>IF(B6="C",9.5,11.5)</f>
        <v>9.5</v>
      </c>
      <c r="C7" s="32"/>
      <c r="P7" s="140" t="s">
        <v>21</v>
      </c>
      <c r="Q7" s="141">
        <v>1.5</v>
      </c>
      <c r="R7" s="149"/>
    </row>
    <row r="8" spans="1:18" ht="18">
      <c r="A8" s="31" t="s">
        <v>76</v>
      </c>
      <c r="B8" s="106">
        <f>IF(B6="C",900,700)</f>
        <v>900</v>
      </c>
      <c r="C8" s="32" t="s">
        <v>3</v>
      </c>
      <c r="P8" s="140" t="s">
        <v>22</v>
      </c>
      <c r="Q8" s="141">
        <v>12</v>
      </c>
      <c r="R8" s="149" t="s">
        <v>30</v>
      </c>
    </row>
    <row r="9" spans="1:18">
      <c r="A9" s="31" t="s">
        <v>34</v>
      </c>
      <c r="B9" s="105">
        <v>1</v>
      </c>
      <c r="C9" s="32"/>
      <c r="P9" s="140" t="s">
        <v>24</v>
      </c>
      <c r="Q9" s="141">
        <v>4</v>
      </c>
      <c r="R9" s="149" t="s">
        <v>30</v>
      </c>
    </row>
    <row r="10" spans="1:18" ht="18">
      <c r="A10" s="31" t="s">
        <v>77</v>
      </c>
      <c r="B10" s="105">
        <v>0.5</v>
      </c>
      <c r="C10" s="32"/>
      <c r="P10" s="140" t="s">
        <v>26</v>
      </c>
      <c r="Q10" s="141">
        <f>Q5/Q4</f>
        <v>0.68382352941176461</v>
      </c>
      <c r="R10" s="149" t="s">
        <v>30</v>
      </c>
    </row>
    <row r="11" spans="1:18" ht="18">
      <c r="A11" s="166" t="s">
        <v>27</v>
      </c>
      <c r="B11" s="105">
        <v>0.6</v>
      </c>
      <c r="C11" s="32"/>
      <c r="P11" s="140" t="s">
        <v>25</v>
      </c>
      <c r="Q11" s="142">
        <f>IF(Q9&lt;Q10,Q4,IF(Q9&gt;Q8,Q5*Q8/Q9^2,Q5/Q9))</f>
        <v>1.24E-2</v>
      </c>
      <c r="R11" s="149"/>
    </row>
    <row r="12" spans="1:18" ht="18.75" thickBot="1">
      <c r="A12" s="31" t="s">
        <v>149</v>
      </c>
      <c r="B12" s="108">
        <f>B11*0.00256*B2*B3*B4*B5^2</f>
        <v>14.307840000000001</v>
      </c>
      <c r="C12" s="32"/>
      <c r="P12" s="143" t="s">
        <v>27</v>
      </c>
      <c r="Q12" s="141">
        <v>0.7</v>
      </c>
      <c r="R12" s="149"/>
    </row>
    <row r="13" spans="1:18" ht="17.25" thickBot="1">
      <c r="A13" s="180" t="s">
        <v>46</v>
      </c>
      <c r="B13" s="181"/>
      <c r="C13" s="182"/>
      <c r="D13" s="183" t="s">
        <v>52</v>
      </c>
      <c r="E13" s="184"/>
      <c r="F13" s="185"/>
      <c r="G13" s="180" t="s">
        <v>53</v>
      </c>
      <c r="H13" s="181"/>
      <c r="I13" s="182"/>
      <c r="J13" s="183" t="s">
        <v>54</v>
      </c>
      <c r="K13" s="184"/>
      <c r="L13" s="185"/>
      <c r="M13" s="13"/>
      <c r="P13" s="140" t="s">
        <v>23</v>
      </c>
      <c r="Q13" s="129">
        <f>MAX(Q12*Q11*Q7/Q6,0.36*Q3*Q7/Q6)</f>
        <v>5.579999999999999E-3</v>
      </c>
      <c r="R13" s="149" t="s">
        <v>31</v>
      </c>
    </row>
    <row r="14" spans="1:18" ht="17.25" thickTop="1">
      <c r="A14" s="68" t="s">
        <v>85</v>
      </c>
      <c r="B14" s="88">
        <v>6</v>
      </c>
      <c r="C14" s="69"/>
      <c r="D14" s="70" t="s">
        <v>85</v>
      </c>
      <c r="E14" s="89">
        <v>7</v>
      </c>
      <c r="F14" s="70"/>
      <c r="G14" s="68" t="s">
        <v>85</v>
      </c>
      <c r="H14" s="88">
        <v>8</v>
      </c>
      <c r="I14" s="69"/>
      <c r="J14" s="71" t="s">
        <v>85</v>
      </c>
      <c r="K14" s="89">
        <v>9</v>
      </c>
      <c r="L14" s="72"/>
      <c r="M14" s="13"/>
      <c r="P14" s="144" t="s">
        <v>65</v>
      </c>
      <c r="Q14" s="155">
        <f>(B29+E29+H29+K29+H54+E54+B54+B68*B72+K54+N54)/(B82+B81)</f>
        <v>140.78934235917768</v>
      </c>
      <c r="R14" s="150"/>
    </row>
    <row r="15" spans="1:18" s="20" customFormat="1">
      <c r="A15" s="35" t="s">
        <v>4</v>
      </c>
      <c r="B15" s="52">
        <f>5/8</f>
        <v>0.625</v>
      </c>
      <c r="C15" s="36" t="s">
        <v>2</v>
      </c>
      <c r="D15" s="18" t="s">
        <v>4</v>
      </c>
      <c r="E15" s="54">
        <f>9/16</f>
        <v>0.5625</v>
      </c>
      <c r="F15" s="18" t="s">
        <v>2</v>
      </c>
      <c r="G15" s="35" t="s">
        <v>4</v>
      </c>
      <c r="H15" s="52">
        <v>0.5</v>
      </c>
      <c r="I15" s="36" t="s">
        <v>2</v>
      </c>
      <c r="J15" s="17" t="s">
        <v>4</v>
      </c>
      <c r="K15" s="54">
        <f>7/16</f>
        <v>0.4375</v>
      </c>
      <c r="L15" s="19" t="s">
        <v>2</v>
      </c>
      <c r="M15" s="17"/>
      <c r="P15" s="140" t="s">
        <v>14</v>
      </c>
      <c r="Q15" s="141">
        <f>Q13*(B81+B82)</f>
        <v>8.7179127245054531</v>
      </c>
      <c r="R15" s="149" t="s">
        <v>1</v>
      </c>
    </row>
    <row r="16" spans="1:18" s="20" customFormat="1" ht="17.25" thickBot="1">
      <c r="A16" s="35" t="s">
        <v>63</v>
      </c>
      <c r="B16" s="52">
        <v>25</v>
      </c>
      <c r="C16" s="36" t="s">
        <v>3</v>
      </c>
      <c r="D16" s="18" t="s">
        <v>63</v>
      </c>
      <c r="E16" s="54">
        <f>B18</f>
        <v>33.833333333333336</v>
      </c>
      <c r="F16" s="18"/>
      <c r="G16" s="35" t="s">
        <v>63</v>
      </c>
      <c r="H16" s="52">
        <f>E18</f>
        <v>65.833333333333343</v>
      </c>
      <c r="I16" s="36" t="s">
        <v>3</v>
      </c>
      <c r="J16" s="17" t="s">
        <v>63</v>
      </c>
      <c r="K16" s="54">
        <f>H18</f>
        <v>113.83333333333334</v>
      </c>
      <c r="L16" s="19" t="s">
        <v>3</v>
      </c>
      <c r="M16" s="17"/>
      <c r="P16" s="145" t="s">
        <v>148</v>
      </c>
      <c r="Q16" s="156">
        <f>Q15*Q14</f>
        <v>1227.3891992278297</v>
      </c>
      <c r="R16" s="151" t="s">
        <v>81</v>
      </c>
    </row>
    <row r="17" spans="1:18" s="20" customFormat="1">
      <c r="A17" s="35" t="s">
        <v>48</v>
      </c>
      <c r="B17" s="52">
        <f>8+10/12</f>
        <v>8.8333333333333339</v>
      </c>
      <c r="C17" s="36" t="s">
        <v>3</v>
      </c>
      <c r="D17" s="18" t="s">
        <v>48</v>
      </c>
      <c r="E17" s="54">
        <v>32</v>
      </c>
      <c r="F17" s="18" t="s">
        <v>3</v>
      </c>
      <c r="G17" s="35" t="s">
        <v>48</v>
      </c>
      <c r="H17" s="52">
        <v>48</v>
      </c>
      <c r="I17" s="36" t="s">
        <v>3</v>
      </c>
      <c r="J17" s="17" t="s">
        <v>48</v>
      </c>
      <c r="K17" s="54">
        <v>24</v>
      </c>
      <c r="L17" s="19" t="s">
        <v>3</v>
      </c>
      <c r="M17" s="17"/>
      <c r="P17" s="144"/>
      <c r="R17" s="150"/>
    </row>
    <row r="18" spans="1:18" s="20" customFormat="1" ht="16.5">
      <c r="A18" s="35" t="s">
        <v>64</v>
      </c>
      <c r="B18" s="52">
        <f>B16+B17</f>
        <v>33.833333333333336</v>
      </c>
      <c r="C18" s="36" t="s">
        <v>3</v>
      </c>
      <c r="D18" s="18" t="s">
        <v>64</v>
      </c>
      <c r="E18" s="54">
        <f>E16+E17</f>
        <v>65.833333333333343</v>
      </c>
      <c r="F18" s="18"/>
      <c r="G18" s="35" t="s">
        <v>64</v>
      </c>
      <c r="H18" s="52">
        <f>H16+H17</f>
        <v>113.83333333333334</v>
      </c>
      <c r="I18" s="36" t="s">
        <v>3</v>
      </c>
      <c r="J18" s="17" t="s">
        <v>64</v>
      </c>
      <c r="K18" s="54">
        <f>K16+K17</f>
        <v>137.83333333333334</v>
      </c>
      <c r="L18" s="19" t="s">
        <v>3</v>
      </c>
      <c r="M18" s="17"/>
      <c r="P18" s="144"/>
      <c r="R18" s="150"/>
    </row>
    <row r="19" spans="1:18" s="20" customFormat="1">
      <c r="A19" s="35" t="s">
        <v>47</v>
      </c>
      <c r="B19" s="52">
        <v>8</v>
      </c>
      <c r="C19" s="36" t="s">
        <v>3</v>
      </c>
      <c r="D19" s="18" t="s">
        <v>47</v>
      </c>
      <c r="E19" s="54">
        <v>8</v>
      </c>
      <c r="F19" s="18" t="s">
        <v>3</v>
      </c>
      <c r="G19" s="35" t="s">
        <v>47</v>
      </c>
      <c r="H19" s="52">
        <v>8</v>
      </c>
      <c r="I19" s="36" t="s">
        <v>3</v>
      </c>
      <c r="J19" s="17" t="s">
        <v>47</v>
      </c>
      <c r="K19" s="54">
        <v>8</v>
      </c>
      <c r="L19" s="19" t="s">
        <v>3</v>
      </c>
      <c r="M19" s="17"/>
      <c r="N19" s="18"/>
      <c r="O19" s="18"/>
      <c r="P19" s="144"/>
      <c r="R19" s="150"/>
    </row>
    <row r="20" spans="1:18" s="20" customFormat="1" ht="18.75">
      <c r="A20" s="37" t="s">
        <v>66</v>
      </c>
      <c r="B20" s="48">
        <f>IF(B15=0,0,B19*B17)</f>
        <v>70.666666666666671</v>
      </c>
      <c r="C20" s="38" t="s">
        <v>67</v>
      </c>
      <c r="D20" s="27" t="s">
        <v>66</v>
      </c>
      <c r="E20" s="50">
        <f>IF(E15=0,0,E19*E17)</f>
        <v>256</v>
      </c>
      <c r="F20" s="27" t="s">
        <v>67</v>
      </c>
      <c r="G20" s="37" t="s">
        <v>66</v>
      </c>
      <c r="H20" s="48">
        <f>IF(H15=0,0,H19*H17)</f>
        <v>384</v>
      </c>
      <c r="I20" s="38" t="s">
        <v>67</v>
      </c>
      <c r="J20" s="26" t="s">
        <v>66</v>
      </c>
      <c r="K20" s="50">
        <f>IF(K15=0,0,K19*K17)</f>
        <v>192</v>
      </c>
      <c r="L20" s="28" t="s">
        <v>67</v>
      </c>
      <c r="M20" s="17"/>
      <c r="N20" s="18"/>
      <c r="O20" s="18"/>
      <c r="P20" s="144"/>
      <c r="R20" s="150"/>
    </row>
    <row r="21" spans="1:18" s="20" customFormat="1">
      <c r="A21" s="39" t="s">
        <v>101</v>
      </c>
      <c r="B21" s="49">
        <f>B16+B17/2</f>
        <v>29.416666666666668</v>
      </c>
      <c r="C21" s="40" t="s">
        <v>3</v>
      </c>
      <c r="D21" s="33" t="s">
        <v>101</v>
      </c>
      <c r="E21" s="51">
        <f>E16+E17/2</f>
        <v>49.833333333333336</v>
      </c>
      <c r="F21" s="33" t="s">
        <v>3</v>
      </c>
      <c r="G21" s="39" t="s">
        <v>101</v>
      </c>
      <c r="H21" s="49">
        <f>H16+H17/2</f>
        <v>89.833333333333343</v>
      </c>
      <c r="I21" s="40" t="s">
        <v>3</v>
      </c>
      <c r="J21" s="24" t="s">
        <v>101</v>
      </c>
      <c r="K21" s="51">
        <f>K16+K17/2</f>
        <v>125.83333333333334</v>
      </c>
      <c r="L21" s="25" t="s">
        <v>3</v>
      </c>
      <c r="M21" s="17"/>
      <c r="N21" s="18"/>
      <c r="O21" s="18"/>
      <c r="P21" s="144"/>
      <c r="R21" s="150"/>
    </row>
    <row r="22" spans="1:18" s="20" customFormat="1" ht="16.5">
      <c r="A22" s="39" t="s">
        <v>72</v>
      </c>
      <c r="B22" s="49">
        <f>2.01*(MAX(B16,15)/$B$8)^(2/$B$7)</f>
        <v>0.94526466907719109</v>
      </c>
      <c r="C22" s="40"/>
      <c r="D22" s="33" t="s">
        <v>72</v>
      </c>
      <c r="E22" s="51">
        <f>2.01*(MAX(E16,15)/$B$8)^(2/$B$7)</f>
        <v>1.0074362868328886</v>
      </c>
      <c r="F22" s="33"/>
      <c r="G22" s="39" t="s">
        <v>72</v>
      </c>
      <c r="H22" s="49">
        <f>2.01*(MAX(H16,15)/$B$8)^(2/$B$7)</f>
        <v>1.1589934197015721</v>
      </c>
      <c r="I22" s="40"/>
      <c r="J22" s="24" t="s">
        <v>72</v>
      </c>
      <c r="K22" s="51">
        <f>2.01*(MAX(K16,15)/$B$8)^(2/$B$7)</f>
        <v>1.300616017659634</v>
      </c>
      <c r="L22" s="25"/>
      <c r="M22" s="17"/>
      <c r="N22" s="18"/>
      <c r="O22" s="18"/>
      <c r="P22" s="144"/>
      <c r="R22" s="150"/>
    </row>
    <row r="23" spans="1:18" s="20" customFormat="1" ht="16.5">
      <c r="A23" s="39" t="s">
        <v>73</v>
      </c>
      <c r="B23" s="49">
        <f>2.01*(MAX(B18,15)/$B$8)^(2/$B$7)</f>
        <v>1.0074362868328886</v>
      </c>
      <c r="C23" s="40"/>
      <c r="D23" s="33" t="s">
        <v>73</v>
      </c>
      <c r="E23" s="51">
        <f>2.01*(MAX(E18,15)/$B$8)^(2/$B$7)</f>
        <v>1.1589934197015721</v>
      </c>
      <c r="F23" s="33"/>
      <c r="G23" s="39" t="s">
        <v>73</v>
      </c>
      <c r="H23" s="49">
        <f>2.01*(MAX(H18,15)/$B$8)^(2/$B$7)</f>
        <v>1.300616017659634</v>
      </c>
      <c r="I23" s="40"/>
      <c r="J23" s="24" t="s">
        <v>73</v>
      </c>
      <c r="K23" s="51">
        <f>2.01*(MAX(K18,15)/$B$8)^(2/$B$7)</f>
        <v>1.3540685037229168</v>
      </c>
      <c r="L23" s="25"/>
      <c r="M23" s="17"/>
      <c r="N23" s="18"/>
      <c r="O23" s="18"/>
      <c r="P23" s="144"/>
      <c r="R23" s="150"/>
    </row>
    <row r="24" spans="1:18" s="20" customFormat="1" ht="16.5">
      <c r="A24" s="39" t="s">
        <v>69</v>
      </c>
      <c r="B24" s="49">
        <f>MAX(B22*$B$12,30*$B$10)</f>
        <v>15</v>
      </c>
      <c r="C24" s="40" t="s">
        <v>35</v>
      </c>
      <c r="D24" s="33" t="s">
        <v>69</v>
      </c>
      <c r="E24" s="51">
        <f>MAX(E22*$B$12,30*$B$10)</f>
        <v>15</v>
      </c>
      <c r="F24" s="33" t="s">
        <v>35</v>
      </c>
      <c r="G24" s="39" t="s">
        <v>69</v>
      </c>
      <c r="H24" s="49">
        <f>MAX(H22*$B$12,30*$B$10)</f>
        <v>16.582692410142943</v>
      </c>
      <c r="I24" s="40" t="s">
        <v>35</v>
      </c>
      <c r="J24" s="24" t="s">
        <v>69</v>
      </c>
      <c r="K24" s="51">
        <f>MAX(K22*$B$12,30*$B$10)</f>
        <v>18.609005882111219</v>
      </c>
      <c r="L24" s="25" t="s">
        <v>35</v>
      </c>
      <c r="M24" s="17"/>
      <c r="N24" s="18"/>
      <c r="O24" s="18"/>
      <c r="P24" s="144"/>
      <c r="R24" s="150"/>
    </row>
    <row r="25" spans="1:18" s="20" customFormat="1" ht="16.5">
      <c r="A25" s="39" t="s">
        <v>70</v>
      </c>
      <c r="B25" s="49">
        <f>MAX(B23*$B$12,30*$B$10)</f>
        <v>15</v>
      </c>
      <c r="C25" s="40" t="s">
        <v>35</v>
      </c>
      <c r="D25" s="33" t="s">
        <v>70</v>
      </c>
      <c r="E25" s="51">
        <f>MAX(E23*$B$12,30*$B$10)</f>
        <v>16.582692410142943</v>
      </c>
      <c r="F25" s="33" t="s">
        <v>35</v>
      </c>
      <c r="G25" s="39" t="s">
        <v>70</v>
      </c>
      <c r="H25" s="49">
        <f>MAX(H23*$B$12,30*$B$10)</f>
        <v>18.609005882111219</v>
      </c>
      <c r="I25" s="40" t="s">
        <v>35</v>
      </c>
      <c r="J25" s="24" t="s">
        <v>70</v>
      </c>
      <c r="K25" s="51">
        <f>MAX(K23*$B$12,30*$B$10)</f>
        <v>19.373795500306898</v>
      </c>
      <c r="L25" s="25" t="s">
        <v>35</v>
      </c>
      <c r="M25" s="17"/>
      <c r="N25" s="18"/>
      <c r="O25" s="18"/>
      <c r="P25" s="144"/>
      <c r="R25" s="150"/>
    </row>
    <row r="26" spans="1:18" s="20" customFormat="1">
      <c r="A26" s="39" t="s">
        <v>36</v>
      </c>
      <c r="B26" s="49">
        <f>(B24+B25)/2*B20/1000</f>
        <v>1.06</v>
      </c>
      <c r="C26" s="40" t="s">
        <v>1</v>
      </c>
      <c r="D26" s="33" t="s">
        <v>36</v>
      </c>
      <c r="E26" s="51">
        <f>(E24+E25)/2*E20/1000</f>
        <v>4.0425846284982967</v>
      </c>
      <c r="F26" s="33" t="s">
        <v>1</v>
      </c>
      <c r="G26" s="39" t="s">
        <v>36</v>
      </c>
      <c r="H26" s="49">
        <f>(H24+H25)/2*H20/1000</f>
        <v>6.7568060721127985</v>
      </c>
      <c r="I26" s="40" t="s">
        <v>1</v>
      </c>
      <c r="J26" s="24" t="s">
        <v>36</v>
      </c>
      <c r="K26" s="51">
        <f>(K24+K25)/2*K20/1000</f>
        <v>3.6463489327121392</v>
      </c>
      <c r="L26" s="25" t="s">
        <v>1</v>
      </c>
      <c r="P26" s="163" t="s">
        <v>82</v>
      </c>
      <c r="Q26" s="164">
        <f>K26+H26+E26+B26</f>
        <v>15.505739633323236</v>
      </c>
      <c r="R26" s="165" t="s">
        <v>1</v>
      </c>
    </row>
    <row r="27" spans="1:18" s="20" customFormat="1">
      <c r="A27" s="39" t="s">
        <v>71</v>
      </c>
      <c r="B27" s="49">
        <f>B16+((B24*B17^2/2+2/3*0.5*B17^2*(B25-B24))/(B24*B17+0.5*B17*(B25-B24)))</f>
        <v>29.416666666666668</v>
      </c>
      <c r="C27" s="40" t="s">
        <v>3</v>
      </c>
      <c r="D27" s="33" t="s">
        <v>71</v>
      </c>
      <c r="E27" s="51">
        <f>E16+((E24*E17^2/2+2/3*0.5*E17^2*(E25-E24))/(E24*E17+0.5*E17*(E25-E24)))</f>
        <v>50.100600799887843</v>
      </c>
      <c r="F27" s="33" t="s">
        <v>3</v>
      </c>
      <c r="G27" s="39" t="s">
        <v>71</v>
      </c>
      <c r="H27" s="49">
        <f>H16+((H24*H17^2/2+2/3*0.5*H17^2*(H25-H24))/(H24*H17+0.5*H17*(H25-H24)))</f>
        <v>90.293967760269027</v>
      </c>
      <c r="I27" s="40" t="s">
        <v>3</v>
      </c>
      <c r="J27" s="24" t="s">
        <v>71</v>
      </c>
      <c r="K27" s="51">
        <f>K16+((K24*K17^2/2+2/3*0.5*K17^2*(K25-K24))/(K24*K17+0.5*K17*(K25-K24)))</f>
        <v>125.9138739559689</v>
      </c>
      <c r="L27" s="25" t="s">
        <v>3</v>
      </c>
      <c r="P27" s="74"/>
      <c r="Q27" s="18"/>
      <c r="R27" s="149"/>
    </row>
    <row r="28" spans="1:18" s="20" customFormat="1">
      <c r="A28" s="39" t="s">
        <v>79</v>
      </c>
      <c r="B28" s="49">
        <f>B27*B26</f>
        <v>31.181666666666668</v>
      </c>
      <c r="C28" s="40" t="s">
        <v>1</v>
      </c>
      <c r="D28" s="60" t="s">
        <v>79</v>
      </c>
      <c r="E28" s="51">
        <f t="shared" ref="E28" si="0">E27*E26</f>
        <v>202.53591867215607</v>
      </c>
      <c r="F28" s="25" t="s">
        <v>1</v>
      </c>
      <c r="G28" s="47" t="s">
        <v>79</v>
      </c>
      <c r="H28" s="49">
        <f t="shared" ref="H28" si="1">H27*H26</f>
        <v>610.09882963774305</v>
      </c>
      <c r="I28" s="40" t="s">
        <v>1</v>
      </c>
      <c r="J28" s="60" t="s">
        <v>79</v>
      </c>
      <c r="K28" s="51">
        <f t="shared" ref="K28" si="2">K27*K26</f>
        <v>459.12591991299803</v>
      </c>
      <c r="L28" s="25" t="s">
        <v>1</v>
      </c>
      <c r="P28" s="163" t="s">
        <v>83</v>
      </c>
      <c r="Q28" s="164">
        <f>K28+H28+E28+B28</f>
        <v>1302.9423348895637</v>
      </c>
      <c r="R28" s="165" t="s">
        <v>81</v>
      </c>
    </row>
    <row r="29" spans="1:18" s="20" customFormat="1">
      <c r="A29" s="39" t="s">
        <v>142</v>
      </c>
      <c r="B29" s="49">
        <f>B30*B21</f>
        <v>165.58313752459554</v>
      </c>
      <c r="C29" s="40"/>
      <c r="D29" s="60" t="s">
        <v>142</v>
      </c>
      <c r="E29" s="51">
        <f>E30*E21</f>
        <v>915.15563474928626</v>
      </c>
      <c r="F29" s="33"/>
      <c r="G29" s="47" t="s">
        <v>142</v>
      </c>
      <c r="H29" s="49">
        <f>H30*H21</f>
        <v>2201.0787892536569</v>
      </c>
      <c r="I29" s="40"/>
      <c r="J29" s="60" t="s">
        <v>142</v>
      </c>
      <c r="K29" s="51">
        <f>K30*K21</f>
        <v>1349.7581662433759</v>
      </c>
      <c r="L29" s="25"/>
      <c r="P29" s="74"/>
      <c r="Q29" s="146"/>
      <c r="R29" s="73"/>
    </row>
    <row r="30" spans="1:18" s="11" customFormat="1" ht="15.75" thickBot="1">
      <c r="A30" s="41" t="s">
        <v>5</v>
      </c>
      <c r="B30" s="53">
        <f>PI()/4*(B19^2-(B19-2*B15/12)^2)*B17*490/1000</f>
        <v>5.6288885277482903</v>
      </c>
      <c r="C30" s="42" t="s">
        <v>1</v>
      </c>
      <c r="D30" s="34" t="s">
        <v>5</v>
      </c>
      <c r="E30" s="55">
        <f>PI()/4*(E19^2-(E19-2*E15/12)^2)*E17*490/1000</f>
        <v>18.364327118714773</v>
      </c>
      <c r="F30" s="34" t="s">
        <v>1</v>
      </c>
      <c r="G30" s="41" t="s">
        <v>5</v>
      </c>
      <c r="H30" s="53">
        <f>PI()/4*(H19^2-(H19-2*H15/12)^2)*H17*490/1000</f>
        <v>24.501804704122339</v>
      </c>
      <c r="I30" s="42" t="s">
        <v>1</v>
      </c>
      <c r="J30" s="21" t="s">
        <v>5</v>
      </c>
      <c r="K30" s="55">
        <f>PI()/4*(K19^2-(K19-2*K15/12)^2)*K17*490/1000</f>
        <v>10.726554963523515</v>
      </c>
      <c r="L30" s="22" t="s">
        <v>1</v>
      </c>
      <c r="P30" s="160" t="s">
        <v>38</v>
      </c>
      <c r="Q30" s="161">
        <f>K30+H30+E30+B30</f>
        <v>59.221575314108918</v>
      </c>
      <c r="R30" s="162" t="s">
        <v>1</v>
      </c>
    </row>
    <row r="31" spans="1:18" ht="17.25" thickBot="1">
      <c r="A31" s="180" t="s">
        <v>45</v>
      </c>
      <c r="B31" s="181"/>
      <c r="C31" s="182"/>
      <c r="D31" s="183" t="s">
        <v>55</v>
      </c>
      <c r="E31" s="184"/>
      <c r="F31" s="185"/>
      <c r="G31" s="180" t="s">
        <v>56</v>
      </c>
      <c r="H31" s="181"/>
      <c r="I31" s="182"/>
      <c r="J31" s="180" t="s">
        <v>57</v>
      </c>
      <c r="K31" s="181"/>
      <c r="L31" s="182"/>
      <c r="M31" s="180" t="s">
        <v>58</v>
      </c>
      <c r="N31" s="181"/>
      <c r="O31" s="181"/>
      <c r="P31" s="148"/>
      <c r="Q31" s="14"/>
      <c r="R31" s="152"/>
    </row>
    <row r="32" spans="1:18" ht="17.25" thickTop="1">
      <c r="A32" s="68" t="s">
        <v>85</v>
      </c>
      <c r="B32" s="88">
        <v>1</v>
      </c>
      <c r="C32" s="69"/>
      <c r="D32" s="70" t="s">
        <v>85</v>
      </c>
      <c r="E32" s="89">
        <v>2</v>
      </c>
      <c r="F32" s="70"/>
      <c r="G32" s="68" t="s">
        <v>85</v>
      </c>
      <c r="H32" s="88">
        <v>3</v>
      </c>
      <c r="I32" s="69"/>
      <c r="J32" s="68" t="s">
        <v>85</v>
      </c>
      <c r="K32" s="88">
        <v>4</v>
      </c>
      <c r="L32" s="69"/>
      <c r="M32" s="68" t="s">
        <v>85</v>
      </c>
      <c r="N32" s="88">
        <v>5</v>
      </c>
      <c r="O32" s="133"/>
      <c r="P32" s="148"/>
      <c r="Q32" s="14"/>
      <c r="R32" s="152"/>
    </row>
    <row r="33" spans="1:18" s="20" customFormat="1">
      <c r="A33" s="35" t="s">
        <v>4</v>
      </c>
      <c r="B33" s="52">
        <f>7/16</f>
        <v>0.4375</v>
      </c>
      <c r="C33" s="36" t="s">
        <v>2</v>
      </c>
      <c r="D33" s="18" t="s">
        <v>4</v>
      </c>
      <c r="E33" s="54">
        <f>9/16</f>
        <v>0.5625</v>
      </c>
      <c r="F33" s="18" t="s">
        <v>2</v>
      </c>
      <c r="G33" s="35" t="s">
        <v>4</v>
      </c>
      <c r="H33" s="52">
        <f>5/8</f>
        <v>0.625</v>
      </c>
      <c r="I33" s="36" t="s">
        <v>2</v>
      </c>
      <c r="J33" s="35" t="s">
        <v>4</v>
      </c>
      <c r="K33" s="52">
        <v>0</v>
      </c>
      <c r="L33" s="36" t="s">
        <v>2</v>
      </c>
      <c r="M33" s="35" t="s">
        <v>4</v>
      </c>
      <c r="N33" s="52">
        <v>0</v>
      </c>
      <c r="O33" s="134" t="s">
        <v>2</v>
      </c>
      <c r="P33" s="74"/>
      <c r="Q33" s="18"/>
      <c r="R33" s="73"/>
    </row>
    <row r="34" spans="1:18" s="20" customFormat="1" ht="16.5">
      <c r="A34" s="35" t="s">
        <v>63</v>
      </c>
      <c r="B34" s="52">
        <v>0</v>
      </c>
      <c r="C34" s="36" t="s">
        <v>3</v>
      </c>
      <c r="D34" s="18" t="s">
        <v>63</v>
      </c>
      <c r="E34" s="54">
        <f>B36</f>
        <v>14</v>
      </c>
      <c r="F34" s="18" t="s">
        <v>3</v>
      </c>
      <c r="G34" s="35" t="s">
        <v>63</v>
      </c>
      <c r="H34" s="52">
        <f>E36</f>
        <v>21</v>
      </c>
      <c r="I34" s="36" t="s">
        <v>3</v>
      </c>
      <c r="J34" s="35" t="s">
        <v>63</v>
      </c>
      <c r="K34" s="52">
        <v>0</v>
      </c>
      <c r="L34" s="36" t="s">
        <v>3</v>
      </c>
      <c r="M34" s="35" t="s">
        <v>63</v>
      </c>
      <c r="N34" s="52">
        <v>0</v>
      </c>
      <c r="O34" s="134" t="s">
        <v>3</v>
      </c>
      <c r="P34" s="74"/>
      <c r="Q34" s="18"/>
      <c r="R34" s="73"/>
    </row>
    <row r="35" spans="1:18" s="20" customFormat="1">
      <c r="A35" s="35" t="s">
        <v>8</v>
      </c>
      <c r="B35" s="52">
        <v>14</v>
      </c>
      <c r="C35" s="36" t="s">
        <v>3</v>
      </c>
      <c r="D35" s="18" t="s">
        <v>8</v>
      </c>
      <c r="E35" s="54">
        <v>7</v>
      </c>
      <c r="F35" s="18" t="s">
        <v>3</v>
      </c>
      <c r="G35" s="35" t="s">
        <v>8</v>
      </c>
      <c r="H35" s="52">
        <v>4</v>
      </c>
      <c r="I35" s="36" t="s">
        <v>3</v>
      </c>
      <c r="J35" s="35" t="s">
        <v>8</v>
      </c>
      <c r="K35" s="52">
        <v>0</v>
      </c>
      <c r="L35" s="36" t="s">
        <v>3</v>
      </c>
      <c r="M35" s="35" t="s">
        <v>8</v>
      </c>
      <c r="N35" s="52">
        <v>0</v>
      </c>
      <c r="O35" s="134" t="s">
        <v>3</v>
      </c>
      <c r="P35" s="74"/>
      <c r="Q35" s="18"/>
      <c r="R35" s="73"/>
    </row>
    <row r="36" spans="1:18" s="20" customFormat="1" ht="16.5">
      <c r="A36" s="35" t="s">
        <v>64</v>
      </c>
      <c r="B36" s="52">
        <f>B35+B34</f>
        <v>14</v>
      </c>
      <c r="C36" s="36" t="s">
        <v>3</v>
      </c>
      <c r="D36" s="18" t="s">
        <v>64</v>
      </c>
      <c r="E36" s="54">
        <f>E35+E34</f>
        <v>21</v>
      </c>
      <c r="F36" s="18" t="s">
        <v>3</v>
      </c>
      <c r="G36" s="35" t="s">
        <v>64</v>
      </c>
      <c r="H36" s="52">
        <f>H35+H34</f>
        <v>25</v>
      </c>
      <c r="I36" s="36" t="s">
        <v>3</v>
      </c>
      <c r="J36" s="35" t="s">
        <v>64</v>
      </c>
      <c r="K36" s="52">
        <f>K35+K34</f>
        <v>0</v>
      </c>
      <c r="L36" s="36" t="s">
        <v>3</v>
      </c>
      <c r="M36" s="35" t="s">
        <v>64</v>
      </c>
      <c r="N36" s="52">
        <f>N35+N34</f>
        <v>0</v>
      </c>
      <c r="O36" s="134" t="s">
        <v>3</v>
      </c>
      <c r="P36" s="74"/>
      <c r="Q36" s="18"/>
      <c r="R36" s="73"/>
    </row>
    <row r="37" spans="1:18" s="20" customFormat="1">
      <c r="A37" s="35" t="s">
        <v>7</v>
      </c>
      <c r="B37" s="52">
        <v>25</v>
      </c>
      <c r="C37" s="36" t="s">
        <v>3</v>
      </c>
      <c r="D37" s="18" t="s">
        <v>7</v>
      </c>
      <c r="E37" s="54">
        <f>B38</f>
        <v>15.479999999999999</v>
      </c>
      <c r="F37" s="18" t="s">
        <v>3</v>
      </c>
      <c r="G37" s="35" t="s">
        <v>7</v>
      </c>
      <c r="H37" s="52">
        <f>E38</f>
        <v>10.719999999999999</v>
      </c>
      <c r="I37" s="36" t="s">
        <v>3</v>
      </c>
      <c r="J37" s="35" t="s">
        <v>7</v>
      </c>
      <c r="K37" s="52">
        <v>0</v>
      </c>
      <c r="L37" s="36" t="s">
        <v>3</v>
      </c>
      <c r="M37" s="35" t="s">
        <v>7</v>
      </c>
      <c r="N37" s="52">
        <f>K38</f>
        <v>0</v>
      </c>
      <c r="O37" s="134" t="s">
        <v>3</v>
      </c>
      <c r="P37" s="74"/>
      <c r="Q37" s="18"/>
      <c r="R37" s="73"/>
    </row>
    <row r="38" spans="1:18" s="20" customFormat="1" ht="42" customHeight="1">
      <c r="A38" s="35" t="s">
        <v>6</v>
      </c>
      <c r="B38" s="52">
        <f>B37-(25-8)/(25)*(14)</f>
        <v>15.479999999999999</v>
      </c>
      <c r="C38" s="36" t="s">
        <v>3</v>
      </c>
      <c r="D38" s="18" t="s">
        <v>6</v>
      </c>
      <c r="E38" s="75">
        <f>E37-(25-8)/(25)*(7)</f>
        <v>10.719999999999999</v>
      </c>
      <c r="F38" s="18" t="s">
        <v>3</v>
      </c>
      <c r="G38" s="35" t="s">
        <v>6</v>
      </c>
      <c r="H38" s="52">
        <f>H37-(25-8)/(25)*(4)</f>
        <v>7.9999999999999982</v>
      </c>
      <c r="I38" s="36" t="s">
        <v>3</v>
      </c>
      <c r="J38" s="35" t="s">
        <v>6</v>
      </c>
      <c r="K38" s="52">
        <v>0</v>
      </c>
      <c r="L38" s="36" t="s">
        <v>3</v>
      </c>
      <c r="M38" s="35" t="s">
        <v>6</v>
      </c>
      <c r="N38" s="52">
        <v>0</v>
      </c>
      <c r="O38" s="134" t="s">
        <v>3</v>
      </c>
      <c r="P38" s="74"/>
      <c r="Q38" s="18"/>
      <c r="R38" s="73"/>
    </row>
    <row r="39" spans="1:18" ht="28.5" customHeight="1">
      <c r="A39" s="43" t="s">
        <v>9</v>
      </c>
      <c r="B39" s="58">
        <f>ROUND(PI()*B38^2/4,2)</f>
        <v>188.21</v>
      </c>
      <c r="C39" s="44" t="s">
        <v>60</v>
      </c>
      <c r="D39" s="14" t="s">
        <v>9</v>
      </c>
      <c r="E39" s="56">
        <f>ROUND(PI()*E38^2/4,2)</f>
        <v>90.26</v>
      </c>
      <c r="F39" s="14" t="s">
        <v>60</v>
      </c>
      <c r="G39" s="43" t="s">
        <v>9</v>
      </c>
      <c r="H39" s="58">
        <f>ROUND(PI()*H38^2/4,2)</f>
        <v>50.27</v>
      </c>
      <c r="I39" s="44" t="s">
        <v>60</v>
      </c>
      <c r="J39" s="43" t="s">
        <v>9</v>
      </c>
      <c r="K39" s="58">
        <f>ROUND(PI()*K38^2/4,2)</f>
        <v>0</v>
      </c>
      <c r="L39" s="44" t="s">
        <v>60</v>
      </c>
      <c r="M39" s="43" t="s">
        <v>9</v>
      </c>
      <c r="N39" s="58">
        <f>ROUND(PI()*N38^2/4,2)</f>
        <v>0</v>
      </c>
      <c r="O39" s="135" t="s">
        <v>60</v>
      </c>
      <c r="P39" s="148"/>
      <c r="Q39" s="14"/>
      <c r="R39" s="152"/>
    </row>
    <row r="40" spans="1:18" ht="32.25" customHeight="1">
      <c r="A40" s="43" t="s">
        <v>10</v>
      </c>
      <c r="B40" s="58">
        <f>ROUND(PI()*B37^2/4,2)</f>
        <v>490.87</v>
      </c>
      <c r="C40" s="44" t="s">
        <v>60</v>
      </c>
      <c r="D40" s="14" t="s">
        <v>10</v>
      </c>
      <c r="E40" s="56">
        <f>ROUND(PI()*E37^2/4,2)</f>
        <v>188.21</v>
      </c>
      <c r="F40" s="14" t="s">
        <v>60</v>
      </c>
      <c r="G40" s="43" t="s">
        <v>10</v>
      </c>
      <c r="H40" s="58">
        <f>ROUND(PI()*H37^2/4,2)</f>
        <v>90.26</v>
      </c>
      <c r="I40" s="44" t="s">
        <v>60</v>
      </c>
      <c r="J40" s="43" t="s">
        <v>10</v>
      </c>
      <c r="K40" s="58">
        <f>ROUND(PI()*K37^2/4,2)</f>
        <v>0</v>
      </c>
      <c r="L40" s="44" t="s">
        <v>60</v>
      </c>
      <c r="M40" s="43" t="s">
        <v>10</v>
      </c>
      <c r="N40" s="58">
        <f>ROUND(PI()*N37^2/4,2)</f>
        <v>0</v>
      </c>
      <c r="O40" s="135" t="s">
        <v>60</v>
      </c>
      <c r="P40" s="148"/>
      <c r="Q40" s="14"/>
      <c r="R40" s="152"/>
    </row>
    <row r="41" spans="1:18" ht="41.25" customHeight="1">
      <c r="A41" s="43" t="s">
        <v>49</v>
      </c>
      <c r="B41" s="58">
        <f>ROUND(PI()*(B38-2*B33/12)^2/4,2)</f>
        <v>186.44</v>
      </c>
      <c r="C41" s="44" t="s">
        <v>60</v>
      </c>
      <c r="D41" s="14" t="s">
        <v>49</v>
      </c>
      <c r="E41" s="56">
        <f>ROUND(PI()*(E38-2*E33/12)^2/4,2)</f>
        <v>88.68</v>
      </c>
      <c r="F41" s="14" t="s">
        <v>60</v>
      </c>
      <c r="G41" s="43" t="s">
        <v>49</v>
      </c>
      <c r="H41" s="58">
        <f>ROUND(PI()*(H38-2*H33/12)^2/4,2)</f>
        <v>48.97</v>
      </c>
      <c r="I41" s="44" t="s">
        <v>60</v>
      </c>
      <c r="J41" s="43" t="s">
        <v>49</v>
      </c>
      <c r="K41" s="58">
        <f>ROUND(PI()*(K38-2*K33/12)^2/4,2)</f>
        <v>0</v>
      </c>
      <c r="L41" s="44" t="s">
        <v>60</v>
      </c>
      <c r="M41" s="43" t="s">
        <v>49</v>
      </c>
      <c r="N41" s="58">
        <f>ROUND(PI()*(N38-2*N33/12)^2/4,2)</f>
        <v>0</v>
      </c>
      <c r="O41" s="135" t="s">
        <v>60</v>
      </c>
      <c r="P41" s="148"/>
      <c r="Q41" s="14"/>
      <c r="R41" s="152"/>
    </row>
    <row r="42" spans="1:18" ht="36.75" customHeight="1">
      <c r="A42" s="43" t="s">
        <v>50</v>
      </c>
      <c r="B42" s="58">
        <f>ROUND(PI()*(B37-2*B33/12)^2/4,2)</f>
        <v>488.01</v>
      </c>
      <c r="C42" s="44" t="s">
        <v>60</v>
      </c>
      <c r="D42" s="14" t="s">
        <v>50</v>
      </c>
      <c r="E42" s="56">
        <f>ROUND(PI()*(E37-2*E33/12)^2/4,2)</f>
        <v>185.93</v>
      </c>
      <c r="F42" s="14" t="s">
        <v>60</v>
      </c>
      <c r="G42" s="43" t="s">
        <v>50</v>
      </c>
      <c r="H42" s="58">
        <f>ROUND(PI()*(H37-2*H33/12)^2/4,2)</f>
        <v>88.51</v>
      </c>
      <c r="I42" s="44" t="s">
        <v>60</v>
      </c>
      <c r="J42" s="43" t="s">
        <v>50</v>
      </c>
      <c r="K42" s="58">
        <f>ROUND(PI()*(K37-2*K33/12)^2/4,2)</f>
        <v>0</v>
      </c>
      <c r="L42" s="44" t="s">
        <v>60</v>
      </c>
      <c r="M42" s="43" t="s">
        <v>50</v>
      </c>
      <c r="N42" s="58">
        <f>ROUND(PI()*(N37-2*N33/12)^2/4,2)</f>
        <v>0</v>
      </c>
      <c r="O42" s="135" t="s">
        <v>60</v>
      </c>
      <c r="P42" s="148"/>
      <c r="Q42" s="14"/>
      <c r="R42" s="152"/>
    </row>
    <row r="43" spans="1:18" ht="66.75" customHeight="1">
      <c r="A43" s="43" t="s">
        <v>12</v>
      </c>
      <c r="B43" s="58">
        <f>ROUND(B35/3*(B39+B40+SQRT(B39*B40)),2)</f>
        <v>4587.4799999999996</v>
      </c>
      <c r="C43" s="44" t="s">
        <v>61</v>
      </c>
      <c r="D43" s="14" t="s">
        <v>12</v>
      </c>
      <c r="E43" s="56">
        <f>ROUND(E35/3*(E39+E40+SQRT(E39*E40)),2)</f>
        <v>953.88</v>
      </c>
      <c r="F43" s="14" t="s">
        <v>61</v>
      </c>
      <c r="G43" s="43" t="s">
        <v>12</v>
      </c>
      <c r="H43" s="58">
        <f>ROUND(H35/3*(H39+H40+SQRT(H39*H40)),2)</f>
        <v>277.19</v>
      </c>
      <c r="I43" s="44" t="s">
        <v>61</v>
      </c>
      <c r="J43" s="43" t="s">
        <v>12</v>
      </c>
      <c r="K43" s="58">
        <f>ROUND(K35/3*(K39+K40+SQRT(K39*K40)),2)</f>
        <v>0</v>
      </c>
      <c r="L43" s="44" t="s">
        <v>61</v>
      </c>
      <c r="M43" s="43" t="s">
        <v>12</v>
      </c>
      <c r="N43" s="58">
        <f>ROUND(N35/3*(N39+N40+SQRT(N39*N40)),2)</f>
        <v>0</v>
      </c>
      <c r="O43" s="135" t="s">
        <v>61</v>
      </c>
      <c r="P43" s="148"/>
      <c r="Q43" s="14"/>
      <c r="R43" s="152"/>
    </row>
    <row r="44" spans="1:18" ht="50.25" customHeight="1">
      <c r="A44" s="43" t="s">
        <v>51</v>
      </c>
      <c r="B44" s="58">
        <f>ROUND(B35/3*(B41+B42+SQRT(B41*B42)),2)</f>
        <v>4555.07</v>
      </c>
      <c r="C44" s="44" t="s">
        <v>61</v>
      </c>
      <c r="D44" s="14" t="s">
        <v>51</v>
      </c>
      <c r="E44" s="56">
        <f>ROUND(E35/3*(E41+E42+SQRT(E41*E42)),2)</f>
        <v>940.37</v>
      </c>
      <c r="F44" s="14" t="s">
        <v>61</v>
      </c>
      <c r="G44" s="43" t="s">
        <v>51</v>
      </c>
      <c r="H44" s="58">
        <f>ROUND(H35/3*(H41+H42+SQRT(H41*H42)),2)</f>
        <v>271.08999999999997</v>
      </c>
      <c r="I44" s="44" t="s">
        <v>61</v>
      </c>
      <c r="J44" s="43" t="s">
        <v>51</v>
      </c>
      <c r="K44" s="58">
        <f>ROUND(K35/3*(K41+K42+SQRT(K41*K42)),2)</f>
        <v>0</v>
      </c>
      <c r="L44" s="44" t="s">
        <v>61</v>
      </c>
      <c r="M44" s="43" t="s">
        <v>51</v>
      </c>
      <c r="N44" s="58">
        <f>ROUND(N35/3*(N41+N42+SQRT(N41*N42)),2)</f>
        <v>0</v>
      </c>
      <c r="O44" s="135" t="s">
        <v>61</v>
      </c>
      <c r="P44" s="148"/>
      <c r="Q44" s="14"/>
      <c r="R44" s="152"/>
    </row>
    <row r="45" spans="1:18" ht="18.75">
      <c r="A45" s="37" t="s">
        <v>66</v>
      </c>
      <c r="B45" s="48">
        <f>IF(B33=0,0,B35*(B37+B38)/2)</f>
        <v>283.35999999999996</v>
      </c>
      <c r="C45" s="38" t="s">
        <v>67</v>
      </c>
      <c r="D45" s="27" t="s">
        <v>66</v>
      </c>
      <c r="E45" s="50">
        <f>IF(E33=0,0,E35*(E37+E38)/2)</f>
        <v>91.699999999999989</v>
      </c>
      <c r="F45" s="27" t="s">
        <v>67</v>
      </c>
      <c r="G45" s="37" t="s">
        <v>66</v>
      </c>
      <c r="H45" s="48">
        <f>IF(H33=0,0,H35*(H37+H38)/2)</f>
        <v>37.44</v>
      </c>
      <c r="I45" s="38" t="s">
        <v>67</v>
      </c>
      <c r="J45" s="37" t="s">
        <v>66</v>
      </c>
      <c r="K45" s="48">
        <f>IF(K33=0,0,K35*(K37+K38)/2)</f>
        <v>0</v>
      </c>
      <c r="L45" s="38" t="s">
        <v>67</v>
      </c>
      <c r="M45" s="37" t="s">
        <v>66</v>
      </c>
      <c r="N45" s="48">
        <f>IF(N33=0,0,N35*(N37+N38)/2)</f>
        <v>0</v>
      </c>
      <c r="O45" s="136" t="s">
        <v>67</v>
      </c>
      <c r="P45" s="148"/>
      <c r="Q45" s="14"/>
      <c r="R45" s="152"/>
    </row>
    <row r="46" spans="1:18">
      <c r="A46" s="39" t="s">
        <v>101</v>
      </c>
      <c r="B46" s="49">
        <f>IF(B33=0,0,B34+B35/4*(B37^2+2*B37*B38+3*B38^2)/(B37^2+B37*B38+B38^2))</f>
        <v>5.9223706934571103</v>
      </c>
      <c r="C46" s="40" t="s">
        <v>3</v>
      </c>
      <c r="D46" s="33" t="s">
        <v>101</v>
      </c>
      <c r="E46" s="51">
        <f>IF(E33=0,0,E34+E35/4*(E37^2+2*E37*E38+3*E38^2)/(E37^2+E37*E38+E38^2))</f>
        <v>17.080694816313105</v>
      </c>
      <c r="F46" s="33" t="s">
        <v>3</v>
      </c>
      <c r="G46" s="39" t="s">
        <v>101</v>
      </c>
      <c r="H46" s="49">
        <f>IF(H33=0,0,H34+H35/4*(H37^2+2*H37*H38+3*H38^2)/(H37^2+H37*H38+H38^2))</f>
        <v>22.807621626849791</v>
      </c>
      <c r="I46" s="40" t="s">
        <v>3</v>
      </c>
      <c r="J46" s="39" t="s">
        <v>101</v>
      </c>
      <c r="K46" s="49">
        <f>IF(K33=0,0,K34+K35/4*(K37^2+2*K37*K38+3*K38^2)/(K37^2+K37*K38+K38^2))</f>
        <v>0</v>
      </c>
      <c r="L46" s="40" t="s">
        <v>3</v>
      </c>
      <c r="M46" s="39" t="s">
        <v>101</v>
      </c>
      <c r="N46" s="49">
        <f>IF(N33=0,0,N34+N35/4*(N37^2+2*N37*N38+3*N38^2)/(N37^2+N37*N38+N38^2))</f>
        <v>0</v>
      </c>
      <c r="O46" s="137" t="s">
        <v>3</v>
      </c>
      <c r="P46" s="148"/>
      <c r="Q46" s="14"/>
      <c r="R46" s="152"/>
    </row>
    <row r="47" spans="1:18" ht="16.5">
      <c r="A47" s="39" t="s">
        <v>72</v>
      </c>
      <c r="B47" s="49">
        <f>2.01*(MAX(B34,15)/$B$8)^(2/$B$7)</f>
        <v>0.84888415207790313</v>
      </c>
      <c r="C47" s="40"/>
      <c r="D47" s="33" t="s">
        <v>72</v>
      </c>
      <c r="E47" s="51">
        <f>2.01*(MAX(E34,15)/$B$8)^(2/$B$7)</f>
        <v>0.84888415207790313</v>
      </c>
      <c r="F47" s="33"/>
      <c r="G47" s="39" t="s">
        <v>72</v>
      </c>
      <c r="H47" s="49">
        <f>2.01*(MAX(H34,15)/$B$8)^(2/$B$7)</f>
        <v>0.91119687732675281</v>
      </c>
      <c r="I47" s="40"/>
      <c r="J47" s="39" t="s">
        <v>72</v>
      </c>
      <c r="K47" s="49">
        <f>2.01*(MAX(K34,15)/$B$8)^(2/$B$7)</f>
        <v>0.84888415207790313</v>
      </c>
      <c r="L47" s="40"/>
      <c r="M47" s="39" t="s">
        <v>72</v>
      </c>
      <c r="N47" s="49">
        <f>2.01*(MAX(N34,15)/$B$8)^(2/$B$7)</f>
        <v>0.84888415207790313</v>
      </c>
      <c r="O47" s="137"/>
      <c r="P47" s="148"/>
      <c r="Q47" s="14"/>
      <c r="R47" s="152"/>
    </row>
    <row r="48" spans="1:18" ht="16.5">
      <c r="A48" s="39" t="s">
        <v>73</v>
      </c>
      <c r="B48" s="49">
        <f>2.01*(MAX(B36,15)/$B$8)^(2/$B$7)</f>
        <v>0.84888415207790313</v>
      </c>
      <c r="C48" s="40"/>
      <c r="D48" s="33" t="s">
        <v>73</v>
      </c>
      <c r="E48" s="51">
        <f>2.01*(MAX(E36,15)/$B$8)^(2/$B$7)</f>
        <v>0.91119687732675281</v>
      </c>
      <c r="F48" s="33"/>
      <c r="G48" s="39" t="s">
        <v>73</v>
      </c>
      <c r="H48" s="49">
        <f>2.01*(MAX(H36,15)/$B$8)^(2/$B$7)</f>
        <v>0.94526466907719109</v>
      </c>
      <c r="I48" s="40"/>
      <c r="J48" s="39" t="s">
        <v>73</v>
      </c>
      <c r="K48" s="49">
        <f>2.01*(MAX(K36,15)/$B$8)^(2/$B$7)</f>
        <v>0.84888415207790313</v>
      </c>
      <c r="L48" s="40"/>
      <c r="M48" s="39" t="s">
        <v>73</v>
      </c>
      <c r="N48" s="49">
        <f>2.01*(MAX(N36,15)/$B$8)^(2/$B$7)</f>
        <v>0.84888415207790313</v>
      </c>
      <c r="O48" s="137"/>
      <c r="P48" s="148"/>
      <c r="Q48" s="14"/>
      <c r="R48" s="152"/>
    </row>
    <row r="49" spans="1:18" ht="16.5">
      <c r="A49" s="39" t="s">
        <v>69</v>
      </c>
      <c r="B49" s="49">
        <f>MAX(B47*$B$12,30*$B$10)</f>
        <v>15</v>
      </c>
      <c r="C49" s="40" t="s">
        <v>35</v>
      </c>
      <c r="D49" s="33" t="s">
        <v>69</v>
      </c>
      <c r="E49" s="51">
        <f>MAX(E47*$B$12,30*$B$10)</f>
        <v>15</v>
      </c>
      <c r="F49" s="33" t="s">
        <v>35</v>
      </c>
      <c r="G49" s="39" t="s">
        <v>69</v>
      </c>
      <c r="H49" s="49">
        <f>MAX(H47*$B$12,30*$B$10)</f>
        <v>15</v>
      </c>
      <c r="I49" s="40" t="s">
        <v>35</v>
      </c>
      <c r="J49" s="39" t="s">
        <v>69</v>
      </c>
      <c r="K49" s="49">
        <f>MAX(K47*$B$12,30*$B$10)</f>
        <v>15</v>
      </c>
      <c r="L49" s="40" t="s">
        <v>35</v>
      </c>
      <c r="M49" s="39" t="s">
        <v>69</v>
      </c>
      <c r="N49" s="49">
        <f>MAX(N47*$B$12,30*$B$10)</f>
        <v>15</v>
      </c>
      <c r="O49" s="137" t="s">
        <v>35</v>
      </c>
      <c r="P49" s="148"/>
      <c r="Q49" s="14"/>
      <c r="R49" s="152"/>
    </row>
    <row r="50" spans="1:18" ht="16.5">
      <c r="A50" s="39" t="s">
        <v>70</v>
      </c>
      <c r="B50" s="49">
        <f>MAX(B48*$B$12,30*$B$10)</f>
        <v>15</v>
      </c>
      <c r="C50" s="40" t="s">
        <v>35</v>
      </c>
      <c r="D50" s="33" t="s">
        <v>70</v>
      </c>
      <c r="E50" s="51">
        <f>MAX(E48*$B$12,30*$B$10)</f>
        <v>15</v>
      </c>
      <c r="F50" s="33" t="s">
        <v>35</v>
      </c>
      <c r="G50" s="39" t="s">
        <v>70</v>
      </c>
      <c r="H50" s="49">
        <f>MAX(H48*$B$12,30*$B$10)</f>
        <v>15</v>
      </c>
      <c r="I50" s="40" t="s">
        <v>35</v>
      </c>
      <c r="J50" s="39" t="s">
        <v>70</v>
      </c>
      <c r="K50" s="49">
        <f>MAX(K48*$B$12,30*$B$10)</f>
        <v>15</v>
      </c>
      <c r="L50" s="40" t="s">
        <v>35</v>
      </c>
      <c r="M50" s="39" t="s">
        <v>70</v>
      </c>
      <c r="N50" s="49">
        <f>MAX(N48*$B$12,30*$B$10)</f>
        <v>15</v>
      </c>
      <c r="O50" s="137" t="s">
        <v>35</v>
      </c>
      <c r="P50" s="148"/>
      <c r="Q50" s="14"/>
      <c r="R50" s="152"/>
    </row>
    <row r="51" spans="1:18">
      <c r="A51" s="39" t="s">
        <v>36</v>
      </c>
      <c r="B51" s="49">
        <f>(B49+B50)/2*B45/1000</f>
        <v>4.2504</v>
      </c>
      <c r="C51" s="40" t="s">
        <v>1</v>
      </c>
      <c r="D51" s="33" t="s">
        <v>36</v>
      </c>
      <c r="E51" s="51">
        <f>(E49+E50)/2*E45/1000</f>
        <v>1.3754999999999997</v>
      </c>
      <c r="F51" s="33" t="s">
        <v>1</v>
      </c>
      <c r="G51" s="39" t="s">
        <v>36</v>
      </c>
      <c r="H51" s="49">
        <f>(H49+H50)/2*H45/1000</f>
        <v>0.56159999999999988</v>
      </c>
      <c r="I51" s="40" t="s">
        <v>1</v>
      </c>
      <c r="J51" s="39" t="s">
        <v>36</v>
      </c>
      <c r="K51" s="49">
        <f>(K49+K50)/2*K45/1000</f>
        <v>0</v>
      </c>
      <c r="L51" s="40" t="s">
        <v>1</v>
      </c>
      <c r="M51" s="39" t="s">
        <v>36</v>
      </c>
      <c r="N51" s="49">
        <f>(N49+N50)/2*N45/1000</f>
        <v>0</v>
      </c>
      <c r="O51" s="137" t="s">
        <v>1</v>
      </c>
      <c r="P51" s="163" t="s">
        <v>82</v>
      </c>
      <c r="Q51" s="164">
        <f>H51+E51+B51+N51+K51</f>
        <v>6.1875</v>
      </c>
      <c r="R51" s="165" t="s">
        <v>1</v>
      </c>
    </row>
    <row r="52" spans="1:18">
      <c r="A52" s="39" t="s">
        <v>71</v>
      </c>
      <c r="B52" s="49">
        <f>IF(B33=0,0,B34+((B49*B35^2/2+2/3*0.5*B35^2*(B50-B49))/(B49*B35+0.5*B35*(B50-B49))))</f>
        <v>7</v>
      </c>
      <c r="C52" s="40" t="s">
        <v>3</v>
      </c>
      <c r="D52" s="33" t="s">
        <v>71</v>
      </c>
      <c r="E52" s="51">
        <f>IF(E33=0,0,E34+((E49*E35^2/2+2/3*0.5*E35^2*(E50-E49))/(E49*E35+0.5*E35*(E50-E49))))</f>
        <v>17.5</v>
      </c>
      <c r="F52" s="33" t="s">
        <v>3</v>
      </c>
      <c r="G52" s="39" t="s">
        <v>71</v>
      </c>
      <c r="H52" s="49">
        <f>IF(H33=0,0,H34+((H49*H35^2/2+2/3*0.5*H35^2*(H50-H49))/(H49*H35+0.5*H35*(H50-H49))))</f>
        <v>23</v>
      </c>
      <c r="I52" s="40" t="s">
        <v>3</v>
      </c>
      <c r="J52" s="39" t="s">
        <v>71</v>
      </c>
      <c r="K52" s="49">
        <f>IF(K33=0,0,K34+((K49*K35^2/2+2/3*0.5*K35^2*(K50-K49))/(K49*K35+0.5*K35*(K50-K49))))</f>
        <v>0</v>
      </c>
      <c r="L52" s="40" t="s">
        <v>3</v>
      </c>
      <c r="M52" s="39" t="s">
        <v>71</v>
      </c>
      <c r="N52" s="49">
        <f>IF(N33=0,0,N34+((N49*N35^2/2+2/3*0.5*N35^2*(N50-N49))/(N49*N35+0.5*N35*(N50-N49))))</f>
        <v>0</v>
      </c>
      <c r="O52" s="137" t="s">
        <v>3</v>
      </c>
      <c r="P52" s="74"/>
      <c r="Q52" s="18"/>
      <c r="R52" s="149"/>
    </row>
    <row r="53" spans="1:18">
      <c r="A53" s="47" t="s">
        <v>79</v>
      </c>
      <c r="B53" s="49">
        <f>B52*B51</f>
        <v>29.752800000000001</v>
      </c>
      <c r="C53" s="61" t="s">
        <v>1</v>
      </c>
      <c r="D53" s="60" t="s">
        <v>79</v>
      </c>
      <c r="E53" s="51">
        <f t="shared" ref="E53" si="3">E52*E51</f>
        <v>24.071249999999996</v>
      </c>
      <c r="F53" s="25" t="s">
        <v>1</v>
      </c>
      <c r="G53" s="47" t="s">
        <v>79</v>
      </c>
      <c r="H53" s="49">
        <f t="shared" ref="H53" si="4">H52*H51</f>
        <v>12.916799999999997</v>
      </c>
      <c r="I53" s="40" t="s">
        <v>1</v>
      </c>
      <c r="J53" s="47" t="s">
        <v>79</v>
      </c>
      <c r="K53" s="49">
        <f t="shared" ref="K53" si="5">K52*K51</f>
        <v>0</v>
      </c>
      <c r="L53" s="40" t="s">
        <v>1</v>
      </c>
      <c r="M53" s="47" t="s">
        <v>79</v>
      </c>
      <c r="N53" s="49">
        <f t="shared" ref="N53" si="6">N52*N51</f>
        <v>0</v>
      </c>
      <c r="O53" s="137" t="s">
        <v>1</v>
      </c>
      <c r="P53" s="163" t="s">
        <v>83</v>
      </c>
      <c r="Q53" s="164">
        <f>H53+E53+B53+K53+N53</f>
        <v>66.740849999999995</v>
      </c>
      <c r="R53" s="165" t="s">
        <v>81</v>
      </c>
    </row>
    <row r="54" spans="1:18">
      <c r="A54" s="39" t="s">
        <v>142</v>
      </c>
      <c r="B54" s="49">
        <f>(B56)*B46</f>
        <v>94.052576745722604</v>
      </c>
      <c r="C54" s="40"/>
      <c r="D54" s="24" t="s">
        <v>142</v>
      </c>
      <c r="E54" s="51">
        <f>(E56)*E46</f>
        <v>113.07249161451105</v>
      </c>
      <c r="F54" s="33"/>
      <c r="G54" s="39" t="s">
        <v>142</v>
      </c>
      <c r="H54" s="49">
        <f>(H56)*H46</f>
        <v>68.171981042654281</v>
      </c>
      <c r="I54" s="40"/>
      <c r="J54" s="39" t="s">
        <v>142</v>
      </c>
      <c r="K54" s="49">
        <f>(K56)*K46</f>
        <v>0</v>
      </c>
      <c r="L54" s="40"/>
      <c r="M54" s="39" t="s">
        <v>142</v>
      </c>
      <c r="N54" s="49">
        <f>(N56)*N46</f>
        <v>0</v>
      </c>
      <c r="O54" s="137"/>
      <c r="P54" s="74"/>
      <c r="Q54" s="146"/>
      <c r="R54" s="73"/>
    </row>
    <row r="55" spans="1:18" s="11" customFormat="1" ht="17.25">
      <c r="A55" s="45" t="s">
        <v>13</v>
      </c>
      <c r="B55" s="59">
        <f>B43-B44</f>
        <v>32.409999999999854</v>
      </c>
      <c r="C55" s="46" t="s">
        <v>62</v>
      </c>
      <c r="D55" s="23" t="s">
        <v>13</v>
      </c>
      <c r="E55" s="57">
        <f>E43-E44</f>
        <v>13.509999999999991</v>
      </c>
      <c r="F55" s="23" t="s">
        <v>62</v>
      </c>
      <c r="G55" s="62" t="s">
        <v>13</v>
      </c>
      <c r="H55" s="59">
        <f>H43-H44</f>
        <v>6.1000000000000227</v>
      </c>
      <c r="I55" s="46" t="s">
        <v>62</v>
      </c>
      <c r="J55" s="62" t="s">
        <v>13</v>
      </c>
      <c r="K55" s="59">
        <f>K43-K44</f>
        <v>0</v>
      </c>
      <c r="L55" s="46" t="s">
        <v>62</v>
      </c>
      <c r="M55" s="62" t="s">
        <v>13</v>
      </c>
      <c r="N55" s="59">
        <f>N43-N44</f>
        <v>0</v>
      </c>
      <c r="O55" s="138" t="s">
        <v>62</v>
      </c>
      <c r="P55" s="147"/>
      <c r="Q55" s="23"/>
      <c r="R55" s="153"/>
    </row>
    <row r="56" spans="1:18" s="11" customFormat="1" ht="15.75" thickBot="1">
      <c r="A56" s="41" t="s">
        <v>0</v>
      </c>
      <c r="B56" s="53">
        <f>B55*490/1000</f>
        <v>15.880899999999929</v>
      </c>
      <c r="C56" s="42" t="s">
        <v>1</v>
      </c>
      <c r="D56" s="34" t="s">
        <v>0</v>
      </c>
      <c r="E56" s="55">
        <f>E55*490/1000</f>
        <v>6.6198999999999959</v>
      </c>
      <c r="F56" s="34" t="s">
        <v>1</v>
      </c>
      <c r="G56" s="41" t="s">
        <v>0</v>
      </c>
      <c r="H56" s="53">
        <f>H55*490/1000</f>
        <v>2.989000000000011</v>
      </c>
      <c r="I56" s="42" t="s">
        <v>1</v>
      </c>
      <c r="J56" s="41" t="s">
        <v>0</v>
      </c>
      <c r="K56" s="53">
        <f>K55*490/1000</f>
        <v>0</v>
      </c>
      <c r="L56" s="42" t="s">
        <v>1</v>
      </c>
      <c r="M56" s="41" t="s">
        <v>0</v>
      </c>
      <c r="N56" s="53">
        <f>N55*490/1000</f>
        <v>0</v>
      </c>
      <c r="O56" s="139" t="s">
        <v>1</v>
      </c>
      <c r="P56" s="160" t="s">
        <v>38</v>
      </c>
      <c r="Q56" s="161">
        <f>H56+E56+B56+K56+N56</f>
        <v>25.489799999999939</v>
      </c>
      <c r="R56" s="162" t="s">
        <v>1</v>
      </c>
    </row>
    <row r="57" spans="1:18">
      <c r="M57" s="14"/>
      <c r="N57" s="14"/>
      <c r="O57" s="14"/>
    </row>
    <row r="58" spans="1:18" ht="15.75" thickBot="1">
      <c r="M58" s="14"/>
      <c r="N58" s="14"/>
      <c r="O58" s="14"/>
    </row>
    <row r="59" spans="1:18" s="20" customFormat="1" ht="15.75" thickBot="1">
      <c r="A59" s="174" t="s">
        <v>104</v>
      </c>
      <c r="B59" s="175"/>
      <c r="C59" s="176"/>
    </row>
    <row r="60" spans="1:18" s="20" customFormat="1">
      <c r="A60" s="92" t="s">
        <v>102</v>
      </c>
      <c r="B60" s="93">
        <v>150000</v>
      </c>
      <c r="C60" s="94" t="s">
        <v>103</v>
      </c>
    </row>
    <row r="61" spans="1:18" s="20" customFormat="1" ht="18">
      <c r="A61" s="63" t="s">
        <v>109</v>
      </c>
      <c r="B61" s="155">
        <f>K18</f>
        <v>137.83333333333334</v>
      </c>
      <c r="C61" s="64" t="s">
        <v>110</v>
      </c>
    </row>
    <row r="62" spans="1:18" s="20" customFormat="1" ht="18">
      <c r="A62" s="63" t="s">
        <v>108</v>
      </c>
      <c r="B62" s="155">
        <f>B69+B61</f>
        <v>176.71833333333333</v>
      </c>
      <c r="C62" s="64" t="s">
        <v>3</v>
      </c>
    </row>
    <row r="63" spans="1:18" s="20" customFormat="1" ht="16.5">
      <c r="A63" s="63" t="s">
        <v>72</v>
      </c>
      <c r="B63" s="155">
        <f>2.01*(MAX(B61,15)/$B$8)^(2/$B$7)</f>
        <v>1.3540685037229168</v>
      </c>
      <c r="C63" s="64"/>
    </row>
    <row r="64" spans="1:18" s="20" customFormat="1" ht="16.5">
      <c r="A64" s="63" t="s">
        <v>73</v>
      </c>
      <c r="B64" s="155">
        <f>2.01*(MAX(B62,15)/$B$8)^(2/$B$7)</f>
        <v>1.4267969858739971</v>
      </c>
      <c r="C64" s="64"/>
    </row>
    <row r="65" spans="1:3" s="20" customFormat="1" ht="16.5">
      <c r="A65" s="63" t="s">
        <v>69</v>
      </c>
      <c r="B65" s="155">
        <f>MAX(B63*$B$12,30*$B$10)</f>
        <v>19.373795500306898</v>
      </c>
      <c r="C65" s="64" t="s">
        <v>35</v>
      </c>
    </row>
    <row r="66" spans="1:3" ht="16.5">
      <c r="A66" s="63" t="s">
        <v>70</v>
      </c>
      <c r="B66" s="155">
        <f>MAX(B64*$B$12,30*$B$10)</f>
        <v>20.414382986367411</v>
      </c>
      <c r="C66" s="64" t="s">
        <v>35</v>
      </c>
    </row>
    <row r="67" spans="1:3">
      <c r="A67" s="109" t="s">
        <v>36</v>
      </c>
      <c r="B67" s="155">
        <f>(B65+B66)/2*B73/1000</f>
        <v>14.133120842752948</v>
      </c>
      <c r="C67" s="110" t="s">
        <v>140</v>
      </c>
    </row>
    <row r="68" spans="1:3">
      <c r="A68" s="63" t="s">
        <v>112</v>
      </c>
      <c r="B68" s="155">
        <f>VLOOKUP($B$60,'Tanks information'!$A$2:$G$6,2,FALSE)+B61</f>
        <v>160.73333333333335</v>
      </c>
      <c r="C68" s="64" t="s">
        <v>110</v>
      </c>
    </row>
    <row r="69" spans="1:3">
      <c r="A69" s="63" t="s">
        <v>107</v>
      </c>
      <c r="B69" s="20">
        <f>VLOOKUP($B$60,'Tanks information'!$A$2:$G$6,3,FALSE)</f>
        <v>38.884999999999998</v>
      </c>
      <c r="C69" s="64" t="s">
        <v>3</v>
      </c>
    </row>
    <row r="70" spans="1:3">
      <c r="A70" s="63" t="s">
        <v>98</v>
      </c>
      <c r="B70" s="20">
        <f>VLOOKUP($B$60,'Tanks information'!$A$2:$G$6,4,FALSE)</f>
        <v>1283</v>
      </c>
      <c r="C70" s="19" t="s">
        <v>105</v>
      </c>
    </row>
    <row r="71" spans="1:3">
      <c r="A71" s="63" t="s">
        <v>97</v>
      </c>
      <c r="B71" s="20">
        <f>VLOOKUP($B$60,'Tanks information'!$A$2:$G$6,5,FALSE)</f>
        <v>54.9636</v>
      </c>
      <c r="C71" s="19" t="s">
        <v>105</v>
      </c>
    </row>
    <row r="72" spans="1:3">
      <c r="A72" s="63" t="s">
        <v>96</v>
      </c>
      <c r="B72" s="20">
        <f>VLOOKUP($B$60,'Tanks information'!$A$2:$G$6,6,FALSE)</f>
        <v>1337.9636</v>
      </c>
      <c r="C72" s="19" t="s">
        <v>105</v>
      </c>
    </row>
    <row r="73" spans="1:3" ht="18">
      <c r="A73" s="63" t="s">
        <v>100</v>
      </c>
      <c r="B73" s="20">
        <f>VLOOKUP($B$60,'Tanks information'!$A$2:$G$6,7,FALSE)</f>
        <v>710.41808800000001</v>
      </c>
      <c r="C73" s="19" t="s">
        <v>106</v>
      </c>
    </row>
    <row r="74" spans="1:3" ht="15.75" thickBot="1">
      <c r="A74" s="65" t="s">
        <v>80</v>
      </c>
      <c r="B74" s="156">
        <f>B67+Q51+Q26</f>
        <v>35.826360476076182</v>
      </c>
      <c r="C74" s="95" t="s">
        <v>1</v>
      </c>
    </row>
    <row r="75" spans="1:3" ht="15.75" thickBot="1"/>
    <row r="76" spans="1:3">
      <c r="A76" s="157" t="s">
        <v>59</v>
      </c>
      <c r="B76" s="158">
        <f>B70</f>
        <v>1283</v>
      </c>
      <c r="C76" s="159" t="s">
        <v>1</v>
      </c>
    </row>
    <row r="77" spans="1:3" ht="15.75" thickBot="1">
      <c r="A77" s="21" t="s">
        <v>38</v>
      </c>
      <c r="B77" s="154">
        <f>B71+Q56+Q30</f>
        <v>139.67497531410885</v>
      </c>
      <c r="C77" s="22" t="s">
        <v>1</v>
      </c>
    </row>
    <row r="78" spans="1:3" s="11" customFormat="1" ht="15.75" thickBot="1">
      <c r="A78" s="173" t="s">
        <v>147</v>
      </c>
      <c r="B78" s="173"/>
      <c r="C78" s="173"/>
    </row>
    <row r="79" spans="1:3" s="11" customFormat="1" ht="15.75" thickTop="1">
      <c r="A79" s="4" t="s">
        <v>82</v>
      </c>
      <c r="B79" s="10">
        <f>Q26+Q51+B74</f>
        <v>57.51960010939942</v>
      </c>
      <c r="C79" s="5"/>
    </row>
    <row r="80" spans="1:3" s="11" customFormat="1">
      <c r="A80" s="4" t="s">
        <v>83</v>
      </c>
      <c r="B80" s="10">
        <f>Q53+Q28+B67*B68</f>
        <v>3641.3468083480543</v>
      </c>
      <c r="C80" s="5"/>
    </row>
    <row r="81" spans="1:6">
      <c r="A81" s="13" t="s">
        <v>59</v>
      </c>
      <c r="B81" s="16">
        <f>B70</f>
        <v>1283</v>
      </c>
      <c r="C81" s="15" t="s">
        <v>1</v>
      </c>
      <c r="D81" s="12"/>
    </row>
    <row r="82" spans="1:6">
      <c r="A82" s="13" t="s">
        <v>38</v>
      </c>
      <c r="B82" s="16">
        <f>B77+Q56+Q30+B71</f>
        <v>279.3499506282177</v>
      </c>
      <c r="C82" s="15" t="s">
        <v>1</v>
      </c>
      <c r="D82" s="14"/>
      <c r="E82" s="14"/>
      <c r="F82" s="14"/>
    </row>
    <row r="83" spans="1:6" ht="15.75" thickBot="1">
      <c r="A83" s="66" t="s">
        <v>84</v>
      </c>
      <c r="B83" s="67">
        <f>B81+B82</f>
        <v>1562.3499506282178</v>
      </c>
      <c r="C83" s="66" t="s">
        <v>1</v>
      </c>
      <c r="D83" s="14"/>
      <c r="E83" s="14"/>
      <c r="F83" s="14"/>
    </row>
    <row r="84" spans="1:6" ht="15.75" thickTop="1"/>
  </sheetData>
  <mergeCells count="13">
    <mergeCell ref="P1:R1"/>
    <mergeCell ref="A78:C78"/>
    <mergeCell ref="A59:C59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M31:O31"/>
  </mergeCells>
  <conditionalFormatting sqref="P28:P29">
    <cfRule type="expression" dxfId="1" priority="1">
      <formula>#REF!=0</formula>
    </cfRule>
  </conditionalFormatting>
  <conditionalFormatting sqref="P53:P54">
    <cfRule type="expression" dxfId="0" priority="15">
      <formula>#REF!=0</formula>
    </cfRule>
  </conditionalFormatting>
  <dataValidations count="1">
    <dataValidation type="list" allowBlank="1" showInputMessage="1" showErrorMessage="1" sqref="B6" xr:uid="{EAC848C1-E63C-4C99-B00C-318D7B7347CA}">
      <formula1>#REF!</formula1>
    </dataValidation>
  </dataValidations>
  <pageMargins left="0.25" right="0.25" top="0" bottom="0" header="0" footer="0"/>
  <pageSetup paperSize="70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91512-4C5B-4203-837B-6816D67597B4}">
          <x14:formula1>
            <xm:f>'Tanks information'!$A$2:$A$6</xm:f>
          </x14:formula1>
          <xm:sqref>B60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V42"/>
  <sheetViews>
    <sheetView tabSelected="1" topLeftCell="A26" zoomScale="82" zoomScaleNormal="82" workbookViewId="0">
      <selection activeCell="F4" sqref="F4"/>
    </sheetView>
  </sheetViews>
  <sheetFormatPr defaultRowHeight="15"/>
  <cols>
    <col min="1" max="1" width="18.28515625" style="2" customWidth="1"/>
    <col min="2" max="2" width="16.42578125" style="2" bestFit="1" customWidth="1"/>
    <col min="3" max="3" width="12.140625" style="2" bestFit="1" customWidth="1"/>
    <col min="4" max="4" width="13.140625" style="2" bestFit="1" customWidth="1"/>
    <col min="5" max="5" width="15.85546875" style="2" bestFit="1" customWidth="1"/>
    <col min="6" max="13" width="9.140625" style="2"/>
    <col min="14" max="14" width="10" style="2" customWidth="1"/>
    <col min="15" max="15" width="16.42578125" style="2" bestFit="1" customWidth="1"/>
    <col min="16" max="16" width="13.28515625" style="2" bestFit="1" customWidth="1"/>
    <col min="17" max="18" width="10.42578125" style="2" bestFit="1" customWidth="1"/>
    <col min="19" max="19" width="10.42578125" style="2" customWidth="1"/>
    <col min="20" max="16384" width="9.140625" style="2"/>
  </cols>
  <sheetData>
    <row r="1" spans="1:19" ht="15.75" thickBot="1">
      <c r="A1" s="167"/>
      <c r="B1" s="168"/>
      <c r="C1" s="168"/>
      <c r="D1" s="168"/>
      <c r="E1" s="168"/>
      <c r="F1" s="169"/>
      <c r="G1" s="189" t="s">
        <v>120</v>
      </c>
      <c r="H1" s="190"/>
      <c r="I1" s="191"/>
      <c r="J1" s="189" t="s">
        <v>127</v>
      </c>
      <c r="K1" s="190"/>
      <c r="L1" s="191"/>
      <c r="M1" s="186" t="s">
        <v>137</v>
      </c>
      <c r="N1" s="187"/>
      <c r="O1" s="187"/>
      <c r="P1" s="187"/>
      <c r="Q1" s="187"/>
      <c r="R1" s="187"/>
      <c r="S1" s="188"/>
    </row>
    <row r="2" spans="1:19" ht="18">
      <c r="A2" s="114" t="s">
        <v>114</v>
      </c>
      <c r="B2" s="115" t="s">
        <v>116</v>
      </c>
      <c r="C2" s="115" t="s">
        <v>117</v>
      </c>
      <c r="D2" s="115" t="s">
        <v>121</v>
      </c>
      <c r="E2" s="115" t="s">
        <v>122</v>
      </c>
      <c r="F2" s="116" t="s">
        <v>123</v>
      </c>
      <c r="G2" s="117" t="s">
        <v>124</v>
      </c>
      <c r="H2" s="118" t="s">
        <v>125</v>
      </c>
      <c r="I2" s="119" t="s">
        <v>126</v>
      </c>
      <c r="J2" s="117" t="s">
        <v>124</v>
      </c>
      <c r="K2" s="118" t="s">
        <v>125</v>
      </c>
      <c r="L2" s="119" t="s">
        <v>126</v>
      </c>
      <c r="M2" s="117" t="s">
        <v>138</v>
      </c>
      <c r="N2" s="118" t="s">
        <v>139</v>
      </c>
      <c r="O2" s="118" t="s">
        <v>115</v>
      </c>
      <c r="P2" s="118" t="s">
        <v>145</v>
      </c>
      <c r="Q2" s="118" t="s">
        <v>143</v>
      </c>
      <c r="R2" s="118" t="s">
        <v>144</v>
      </c>
      <c r="S2" s="119" t="s">
        <v>141</v>
      </c>
    </row>
    <row r="3" spans="1:19">
      <c r="A3" s="4" t="s">
        <v>118</v>
      </c>
      <c r="B3" s="2">
        <v>0</v>
      </c>
      <c r="C3" s="2">
        <v>0</v>
      </c>
      <c r="D3" s="2" t="s">
        <v>119</v>
      </c>
      <c r="E3" s="2" t="s">
        <v>119</v>
      </c>
      <c r="F3" s="5" t="s">
        <v>119</v>
      </c>
      <c r="G3" s="4">
        <f>'Total weight modified'!B70</f>
        <v>1283</v>
      </c>
      <c r="H3" s="10">
        <f>'Content, Snow and  miscell.'!B5+'Content, Snow and  miscell.'!F2</f>
        <v>20.674501730546563</v>
      </c>
      <c r="I3" s="5">
        <f>'Total weight modified'!B71</f>
        <v>54.9636</v>
      </c>
      <c r="J3" s="4" cm="1">
        <f t="array" ref="J3:L3">G3:I3</f>
        <v>1283</v>
      </c>
      <c r="K3" s="2">
        <v>20.674501730546563</v>
      </c>
      <c r="L3" s="5">
        <v>54.9636</v>
      </c>
      <c r="M3" s="120">
        <f>'Total weight modified'!B67</f>
        <v>14.133120842752948</v>
      </c>
      <c r="N3" s="10">
        <f>M3</f>
        <v>14.133120842752948</v>
      </c>
      <c r="O3" s="10">
        <f>'Total weight modified'!B61</f>
        <v>137.83333333333334</v>
      </c>
      <c r="P3" s="10">
        <f>'Total weight modified'!B68</f>
        <v>160.73333333333335</v>
      </c>
      <c r="Q3" s="10">
        <f>P3-O3</f>
        <v>22.900000000000006</v>
      </c>
      <c r="R3" s="10">
        <f t="shared" ref="R3:R12" si="0">M3*(Q3)</f>
        <v>323.64846729904258</v>
      </c>
      <c r="S3" s="121">
        <f>R3</f>
        <v>323.64846729904258</v>
      </c>
    </row>
    <row r="4" spans="1:19">
      <c r="A4" s="4">
        <v>9</v>
      </c>
      <c r="B4" s="2">
        <f>('Total weight modified'!K19)*12</f>
        <v>96</v>
      </c>
      <c r="C4" s="10">
        <f>'Total weight modified'!K15</f>
        <v>0.4375</v>
      </c>
      <c r="D4" s="2">
        <f>PI()/4*(B4^2-(B4-C4*2)^2)</f>
        <v>131.34557098192013</v>
      </c>
      <c r="E4" s="2">
        <f>PI()/64*(B4^4-(B4-C4*2)^4)</f>
        <v>149937.25436666078</v>
      </c>
      <c r="F4" s="5">
        <f t="shared" ref="F4:F12" si="1">IF(B4=0,0,E4/B4*2)</f>
        <v>3123.6927993054328</v>
      </c>
      <c r="G4" s="4">
        <v>0</v>
      </c>
      <c r="H4" s="10">
        <v>0</v>
      </c>
      <c r="I4" s="121">
        <f>'Total weight modified'!K30</f>
        <v>10.726554963523515</v>
      </c>
      <c r="J4" s="4">
        <f>J3+G4</f>
        <v>1283</v>
      </c>
      <c r="K4" s="2">
        <f t="shared" ref="K4:L12" si="2">K3+H4</f>
        <v>20.674501730546563</v>
      </c>
      <c r="L4" s="5">
        <f t="shared" si="2"/>
        <v>65.690154963523511</v>
      </c>
      <c r="M4" s="120">
        <f>'Total weight modified'!K26</f>
        <v>3.6463489327121392</v>
      </c>
      <c r="N4" s="10">
        <f>N3+M4</f>
        <v>17.779469775465088</v>
      </c>
      <c r="O4" s="10">
        <f>'Total weight modified'!K16</f>
        <v>113.83333333333334</v>
      </c>
      <c r="P4" s="10">
        <f>'Total weight modified'!K27</f>
        <v>125.9138739559689</v>
      </c>
      <c r="Q4" s="10">
        <f t="shared" ref="Q4:Q11" si="3">P4-O4</f>
        <v>12.080540622635553</v>
      </c>
      <c r="R4" s="10">
        <f t="shared" si="0"/>
        <v>44.049866405932789</v>
      </c>
      <c r="S4" s="121">
        <f>R4+M3*(P3-O4)</f>
        <v>706.8932339310461</v>
      </c>
    </row>
    <row r="5" spans="1:19">
      <c r="A5" s="4">
        <v>8</v>
      </c>
      <c r="B5" s="2">
        <f>('Total weight modified'!H19)*12</f>
        <v>96</v>
      </c>
      <c r="C5" s="10">
        <f>'Total weight modified'!H15</f>
        <v>0.5</v>
      </c>
      <c r="D5" s="2">
        <f t="shared" ref="D5:D12" si="4">PI()/4*(B5^2-(B5-C5*2)^2)</f>
        <v>150.01104920891262</v>
      </c>
      <c r="E5" s="2">
        <f t="shared" ref="E5:E12" si="5">PI()/64*(B5^4-(B5-C5*2)^4)</f>
        <v>171021.97178873594</v>
      </c>
      <c r="F5" s="5">
        <f t="shared" si="1"/>
        <v>3562.9577455986655</v>
      </c>
      <c r="G5" s="4">
        <f t="shared" ref="G5:G12" si="6">G4</f>
        <v>0</v>
      </c>
      <c r="H5" s="10">
        <f t="shared" ref="H5:H12" si="7">H4</f>
        <v>0</v>
      </c>
      <c r="I5" s="121">
        <f>'Total weight modified'!H30</f>
        <v>24.501804704122339</v>
      </c>
      <c r="J5" s="4">
        <f t="shared" ref="J5:J12" si="8">J4+G5</f>
        <v>1283</v>
      </c>
      <c r="K5" s="2">
        <f t="shared" si="2"/>
        <v>20.674501730546563</v>
      </c>
      <c r="L5" s="5">
        <f t="shared" si="2"/>
        <v>90.191959667645847</v>
      </c>
      <c r="M5" s="120">
        <f>'Total weight modified'!H26</f>
        <v>6.7568060721127985</v>
      </c>
      <c r="N5" s="10">
        <f t="shared" ref="N5:N12" si="9">N4+M5</f>
        <v>24.536275847577887</v>
      </c>
      <c r="O5" s="10">
        <f>'Total weight modified'!H16</f>
        <v>65.833333333333343</v>
      </c>
      <c r="P5" s="10">
        <f>'Total weight modified'!H27</f>
        <v>90.293967760269027</v>
      </c>
      <c r="Q5" s="10">
        <f t="shared" si="3"/>
        <v>24.460634426935684</v>
      </c>
      <c r="R5" s="10">
        <f t="shared" si="0"/>
        <v>165.27576322365039</v>
      </c>
      <c r="S5" s="121">
        <f>R5+M3*(P3-O5)+M4*(P4-O5)</f>
        <v>1725.5835463770206</v>
      </c>
    </row>
    <row r="6" spans="1:19">
      <c r="A6" s="4">
        <v>7</v>
      </c>
      <c r="B6" s="2">
        <f>('Total weight modified'!E19)*12</f>
        <v>96</v>
      </c>
      <c r="C6" s="10">
        <f>'Total weight modified'!E15</f>
        <v>0.5625</v>
      </c>
      <c r="D6" s="2">
        <f t="shared" si="4"/>
        <v>168.65198374329893</v>
      </c>
      <c r="E6" s="2">
        <f t="shared" si="5"/>
        <v>192023.62412717866</v>
      </c>
      <c r="F6" s="5">
        <f t="shared" si="1"/>
        <v>4000.4921693162219</v>
      </c>
      <c r="G6" s="4">
        <f t="shared" si="6"/>
        <v>0</v>
      </c>
      <c r="H6" s="10">
        <f t="shared" si="7"/>
        <v>0</v>
      </c>
      <c r="I6" s="121">
        <f>'Total weight modified'!E30</f>
        <v>18.364327118714773</v>
      </c>
      <c r="J6" s="4">
        <f t="shared" si="8"/>
        <v>1283</v>
      </c>
      <c r="K6" s="2">
        <f t="shared" si="2"/>
        <v>20.674501730546563</v>
      </c>
      <c r="L6" s="5">
        <f t="shared" si="2"/>
        <v>108.55628678636062</v>
      </c>
      <c r="M6" s="120">
        <f>'Total weight modified'!E26</f>
        <v>4.0425846284982967</v>
      </c>
      <c r="N6" s="10">
        <f t="shared" si="9"/>
        <v>28.578860476076184</v>
      </c>
      <c r="O6" s="10">
        <f>'Total weight modified'!E16</f>
        <v>33.833333333333336</v>
      </c>
      <c r="P6" s="10">
        <f>'Total weight modified'!E27</f>
        <v>50.100600799887843</v>
      </c>
      <c r="Q6" s="10">
        <f t="shared" si="3"/>
        <v>16.267267466554507</v>
      </c>
      <c r="R6" s="10">
        <f t="shared" si="0"/>
        <v>65.761805407963678</v>
      </c>
      <c r="S6" s="121">
        <f>R6+M3*(P3-O6)+M4*(P4-O6)+M5*(P5-O6)</f>
        <v>2576.5061789074771</v>
      </c>
    </row>
    <row r="7" spans="1:19">
      <c r="A7" s="4">
        <v>6</v>
      </c>
      <c r="B7" s="2">
        <f>('Total weight modified'!B19)*12</f>
        <v>96</v>
      </c>
      <c r="C7" s="10">
        <f>'Total weight modified'!B15</f>
        <v>0.625</v>
      </c>
      <c r="D7" s="2">
        <f t="shared" si="4"/>
        <v>187.26837458507907</v>
      </c>
      <c r="E7" s="2">
        <f t="shared" si="5"/>
        <v>212942.42983044049</v>
      </c>
      <c r="F7" s="5">
        <f t="shared" si="1"/>
        <v>4436.3006214675106</v>
      </c>
      <c r="G7" s="4">
        <f t="shared" si="6"/>
        <v>0</v>
      </c>
      <c r="H7" s="10">
        <f t="shared" si="7"/>
        <v>0</v>
      </c>
      <c r="I7" s="121">
        <f>'Total weight modified'!B30</f>
        <v>5.6288885277482903</v>
      </c>
      <c r="J7" s="4">
        <f t="shared" si="8"/>
        <v>1283</v>
      </c>
      <c r="K7" s="2">
        <f t="shared" si="2"/>
        <v>20.674501730546563</v>
      </c>
      <c r="L7" s="5">
        <f t="shared" si="2"/>
        <v>114.1851753141089</v>
      </c>
      <c r="M7" s="120">
        <f>'Total weight modified'!B26</f>
        <v>1.06</v>
      </c>
      <c r="N7" s="10">
        <f t="shared" si="9"/>
        <v>29.638860476076182</v>
      </c>
      <c r="O7" s="10">
        <f>'Total weight modified'!B16</f>
        <v>25</v>
      </c>
      <c r="P7" s="10">
        <f>'Total weight modified'!B27</f>
        <v>29.416666666666668</v>
      </c>
      <c r="Q7" s="10">
        <f t="shared" si="3"/>
        <v>4.4166666666666679</v>
      </c>
      <c r="R7" s="10">
        <f t="shared" si="0"/>
        <v>4.6816666666666684</v>
      </c>
      <c r="S7" s="121">
        <f>R7+M3*(P3-O7)+M4*(P4-O7)+M5*(P5-O7)+M6*(P6-O7)</f>
        <v>2833.6344464461499</v>
      </c>
    </row>
    <row r="8" spans="1:19">
      <c r="A8" s="4">
        <v>5</v>
      </c>
      <c r="B8" s="10">
        <f>'Total weight modified'!N37*12</f>
        <v>0</v>
      </c>
      <c r="C8" s="10">
        <f>'Total weight modified'!N33</f>
        <v>0</v>
      </c>
      <c r="D8" s="2">
        <f t="shared" si="4"/>
        <v>0</v>
      </c>
      <c r="E8" s="2">
        <f t="shared" si="5"/>
        <v>0</v>
      </c>
      <c r="F8" s="5">
        <f>IF(B8=0,0,E8/B8*2)</f>
        <v>0</v>
      </c>
      <c r="G8" s="4">
        <f t="shared" si="6"/>
        <v>0</v>
      </c>
      <c r="H8" s="10">
        <f t="shared" si="7"/>
        <v>0</v>
      </c>
      <c r="I8" s="121">
        <f>'Total weight modified'!N56</f>
        <v>0</v>
      </c>
      <c r="J8" s="4">
        <f t="shared" si="8"/>
        <v>1283</v>
      </c>
      <c r="K8" s="2">
        <f t="shared" si="2"/>
        <v>20.674501730546563</v>
      </c>
      <c r="L8" s="5">
        <f t="shared" si="2"/>
        <v>114.1851753141089</v>
      </c>
      <c r="M8" s="120">
        <f>'Total weight modified'!N51</f>
        <v>0</v>
      </c>
      <c r="N8" s="10">
        <f t="shared" si="9"/>
        <v>29.638860476076182</v>
      </c>
      <c r="O8" s="10">
        <f>'Total weight modified'!N34</f>
        <v>0</v>
      </c>
      <c r="P8" s="10">
        <f>'Total weight modified'!N52</f>
        <v>0</v>
      </c>
      <c r="Q8" s="10">
        <f t="shared" si="3"/>
        <v>0</v>
      </c>
      <c r="R8" s="10">
        <f t="shared" si="0"/>
        <v>0</v>
      </c>
      <c r="S8" s="121">
        <f>R8+M3*(P3-O8)+M4*(P4-O8)+M5*(P5-O8)+M6*(P6-O8)+M7*(P7-O8)</f>
        <v>3574.6059583480551</v>
      </c>
    </row>
    <row r="9" spans="1:19">
      <c r="A9" s="4">
        <v>4</v>
      </c>
      <c r="B9" s="10">
        <f>'Total weight modified'!K37*12</f>
        <v>0</v>
      </c>
      <c r="C9" s="10">
        <f>'Total weight modified'!K33</f>
        <v>0</v>
      </c>
      <c r="D9" s="2">
        <f t="shared" si="4"/>
        <v>0</v>
      </c>
      <c r="E9" s="2">
        <f t="shared" si="5"/>
        <v>0</v>
      </c>
      <c r="F9" s="5">
        <f t="shared" si="1"/>
        <v>0</v>
      </c>
      <c r="G9" s="4">
        <f t="shared" si="6"/>
        <v>0</v>
      </c>
      <c r="H9" s="10">
        <f t="shared" si="7"/>
        <v>0</v>
      </c>
      <c r="I9" s="121">
        <f>'Total weight modified'!K56</f>
        <v>0</v>
      </c>
      <c r="J9" s="4">
        <f t="shared" si="8"/>
        <v>1283</v>
      </c>
      <c r="K9" s="2">
        <f t="shared" si="2"/>
        <v>20.674501730546563</v>
      </c>
      <c r="L9" s="5">
        <f t="shared" si="2"/>
        <v>114.1851753141089</v>
      </c>
      <c r="M9" s="120">
        <f>'Total weight modified'!K51</f>
        <v>0</v>
      </c>
      <c r="N9" s="10">
        <f t="shared" si="9"/>
        <v>29.638860476076182</v>
      </c>
      <c r="O9" s="10">
        <f>'Total weight modified'!K34</f>
        <v>0</v>
      </c>
      <c r="P9" s="10">
        <f>'Total weight modified'!K52</f>
        <v>0</v>
      </c>
      <c r="Q9" s="10">
        <f t="shared" si="3"/>
        <v>0</v>
      </c>
      <c r="R9" s="10">
        <f t="shared" si="0"/>
        <v>0</v>
      </c>
      <c r="S9" s="121">
        <f>R9+M3*(P3-O9)+M4*(P4-O9)+M5*(P5-O9)+M6*(P6-O9)+M7*(P7-O9)+M8*(P8-O9)</f>
        <v>3574.6059583480551</v>
      </c>
    </row>
    <row r="10" spans="1:19">
      <c r="A10" s="4">
        <v>3</v>
      </c>
      <c r="B10" s="2">
        <f>('Total weight modified'!H37)*12</f>
        <v>128.63999999999999</v>
      </c>
      <c r="C10" s="10">
        <f>'Total weight modified'!H33</f>
        <v>0.625</v>
      </c>
      <c r="D10" s="2">
        <f t="shared" si="4"/>
        <v>251.35686471830971</v>
      </c>
      <c r="E10" s="2">
        <f t="shared" si="5"/>
        <v>514911.79059198342</v>
      </c>
      <c r="F10" s="5">
        <f t="shared" si="1"/>
        <v>8005.4693810942699</v>
      </c>
      <c r="G10" s="4">
        <f t="shared" si="6"/>
        <v>0</v>
      </c>
      <c r="H10" s="10">
        <f t="shared" si="7"/>
        <v>0</v>
      </c>
      <c r="I10" s="121">
        <f>'Total weight modified'!H56</f>
        <v>2.989000000000011</v>
      </c>
      <c r="J10" s="4">
        <f t="shared" si="8"/>
        <v>1283</v>
      </c>
      <c r="K10" s="2">
        <f t="shared" si="2"/>
        <v>20.674501730546563</v>
      </c>
      <c r="L10" s="5">
        <f t="shared" si="2"/>
        <v>117.17417531410891</v>
      </c>
      <c r="M10" s="120">
        <f>'Total weight modified'!H51</f>
        <v>0.56159999999999988</v>
      </c>
      <c r="N10" s="10">
        <f t="shared" si="9"/>
        <v>30.200460476076181</v>
      </c>
      <c r="O10" s="10">
        <f>'Total weight modified'!H34</f>
        <v>21</v>
      </c>
      <c r="P10" s="10">
        <f>'Total weight modified'!H52</f>
        <v>23</v>
      </c>
      <c r="Q10" s="10">
        <f t="shared" si="3"/>
        <v>2</v>
      </c>
      <c r="R10" s="10">
        <f t="shared" si="0"/>
        <v>1.1231999999999998</v>
      </c>
      <c r="S10" s="121">
        <f>R10+M3*(P3-O10)+M4*(P4-O10)+M5*(P5-O10)+M6*(P6-O10)+M7*(P7-O10)+M8*(P8-O10)+M9*(P9-O10)</f>
        <v>2953.3130883504546</v>
      </c>
    </row>
    <row r="11" spans="1:19">
      <c r="A11" s="4">
        <v>2</v>
      </c>
      <c r="B11" s="2">
        <f>('Total weight modified'!E37)*12</f>
        <v>185.76</v>
      </c>
      <c r="C11" s="10">
        <f>'Total weight modified'!E33</f>
        <v>0.5625</v>
      </c>
      <c r="D11" s="2">
        <f t="shared" si="4"/>
        <v>327.27099682304691</v>
      </c>
      <c r="E11" s="2">
        <f t="shared" si="5"/>
        <v>1403110.1888206052</v>
      </c>
      <c r="F11" s="5">
        <f t="shared" si="1"/>
        <v>15106.698846044415</v>
      </c>
      <c r="G11" s="4">
        <f t="shared" si="6"/>
        <v>0</v>
      </c>
      <c r="H11" s="10">
        <f t="shared" si="7"/>
        <v>0</v>
      </c>
      <c r="I11" s="121">
        <f>'Total weight modified'!E56</f>
        <v>6.6198999999999959</v>
      </c>
      <c r="J11" s="4">
        <f t="shared" si="8"/>
        <v>1283</v>
      </c>
      <c r="K11" s="2">
        <f t="shared" si="2"/>
        <v>20.674501730546563</v>
      </c>
      <c r="L11" s="5">
        <f t="shared" si="2"/>
        <v>123.79407531410891</v>
      </c>
      <c r="M11" s="120">
        <f>'Total weight modified'!E51</f>
        <v>1.3754999999999997</v>
      </c>
      <c r="N11" s="10">
        <f t="shared" si="9"/>
        <v>31.57596047607618</v>
      </c>
      <c r="O11" s="10">
        <f>'Total weight modified'!E34</f>
        <v>14</v>
      </c>
      <c r="P11" s="10">
        <f>'Total weight modified'!E52</f>
        <v>17.5</v>
      </c>
      <c r="Q11" s="10">
        <f t="shared" si="3"/>
        <v>3.5</v>
      </c>
      <c r="R11" s="10">
        <f t="shared" si="0"/>
        <v>4.8142499999999995</v>
      </c>
      <c r="S11" s="121">
        <f>R11+M3*(P3-O11)+M4*(P4-O11)+M5*(P5-O11)+M6*(P6-O11)+M7*(P7-O11)+M8*(P8-O11)+M9*(P9-O11)+M10*(P10-O11)</f>
        <v>3169.5305616829883</v>
      </c>
    </row>
    <row r="12" spans="1:19" ht="15.75" thickBot="1">
      <c r="A12" s="6">
        <v>1</v>
      </c>
      <c r="B12" s="7">
        <f>('Total weight modified'!B37)*12</f>
        <v>300</v>
      </c>
      <c r="C12" s="9">
        <f>'Total weight modified'!B33</f>
        <v>0.4375</v>
      </c>
      <c r="D12" s="7">
        <f t="shared" si="4"/>
        <v>411.73271531480918</v>
      </c>
      <c r="E12" s="7">
        <f t="shared" si="5"/>
        <v>4618502.7696240963</v>
      </c>
      <c r="F12" s="8">
        <f t="shared" si="1"/>
        <v>30790.018464160643</v>
      </c>
      <c r="G12" s="6">
        <f t="shared" si="6"/>
        <v>0</v>
      </c>
      <c r="H12" s="9">
        <f t="shared" si="7"/>
        <v>0</v>
      </c>
      <c r="I12" s="122">
        <f>'Total weight modified'!B56</f>
        <v>15.880899999999929</v>
      </c>
      <c r="J12" s="6">
        <f t="shared" si="8"/>
        <v>1283</v>
      </c>
      <c r="K12" s="7">
        <f t="shared" si="2"/>
        <v>20.674501730546563</v>
      </c>
      <c r="L12" s="8">
        <f t="shared" si="2"/>
        <v>139.67497531410885</v>
      </c>
      <c r="M12" s="123">
        <f>'Total weight modified'!B51</f>
        <v>4.2504</v>
      </c>
      <c r="N12" s="9">
        <f t="shared" si="9"/>
        <v>35.826360476076182</v>
      </c>
      <c r="O12" s="9">
        <f>'Total weight modified'!B34</f>
        <v>0</v>
      </c>
      <c r="P12" s="9">
        <f>'Total weight modified'!B52</f>
        <v>7</v>
      </c>
      <c r="Q12" s="9">
        <f>P12-O12</f>
        <v>7</v>
      </c>
      <c r="R12" s="9">
        <f t="shared" si="0"/>
        <v>29.752800000000001</v>
      </c>
      <c r="S12" s="122">
        <f>R12+M3*(P3-O12)+M4*(P4-O12)+M5*(P5-O12)+M6*(P6-O12)+M7*(P7-O12)+M8*(P8-O12)+M9*(P9-O12)+M10*(P10-O12)+M11*(P11-O12)</f>
        <v>3641.3468083480552</v>
      </c>
    </row>
    <row r="13" spans="1:19" ht="15.75" thickBot="1"/>
    <row r="14" spans="1:19" ht="15.75" thickBot="1">
      <c r="A14" s="192" t="s">
        <v>95</v>
      </c>
      <c r="B14" s="193"/>
      <c r="C14" s="194"/>
    </row>
    <row r="15" spans="1:19" ht="18">
      <c r="A15" s="4" t="s">
        <v>88</v>
      </c>
      <c r="B15" s="2">
        <v>36000</v>
      </c>
      <c r="C15" s="5" t="s">
        <v>111</v>
      </c>
    </row>
    <row r="16" spans="1:19">
      <c r="A16" s="4" t="s">
        <v>89</v>
      </c>
      <c r="B16" s="2">
        <v>2.1</v>
      </c>
      <c r="C16" s="5"/>
    </row>
    <row r="17" spans="1:22">
      <c r="A17" s="4" t="s">
        <v>90</v>
      </c>
      <c r="B17" s="2">
        <f>177*12</f>
        <v>2124</v>
      </c>
      <c r="C17" s="5" t="s">
        <v>2</v>
      </c>
    </row>
    <row r="18" spans="1:22" ht="18">
      <c r="A18" s="4" t="s">
        <v>93</v>
      </c>
      <c r="B18" s="2">
        <f>VLOOKUP(B15,P21:Q27,2,FALSE)</f>
        <v>334</v>
      </c>
      <c r="C18" s="5"/>
    </row>
    <row r="19" spans="1:22" ht="15.75" thickBot="1">
      <c r="A19" s="6" t="s">
        <v>94</v>
      </c>
      <c r="B19" s="7">
        <v>29000000</v>
      </c>
      <c r="C19" s="8" t="s">
        <v>111</v>
      </c>
    </row>
    <row r="20" spans="1:22" ht="19.5" thickBot="1">
      <c r="A20" s="111" t="s">
        <v>114</v>
      </c>
      <c r="B20" s="112" t="s">
        <v>128</v>
      </c>
      <c r="C20" s="112" t="s">
        <v>117</v>
      </c>
      <c r="D20" s="112" t="s">
        <v>92</v>
      </c>
      <c r="E20" s="112" t="s">
        <v>121</v>
      </c>
      <c r="F20" s="112" t="s">
        <v>122</v>
      </c>
      <c r="G20" s="112" t="s">
        <v>129</v>
      </c>
      <c r="H20" s="112" t="s">
        <v>130</v>
      </c>
      <c r="I20" s="112" t="s">
        <v>131</v>
      </c>
      <c r="J20" s="112" t="s">
        <v>91</v>
      </c>
      <c r="K20" s="112" t="s">
        <v>132</v>
      </c>
      <c r="L20" s="112" t="s">
        <v>133</v>
      </c>
      <c r="M20" s="112" t="s">
        <v>134</v>
      </c>
      <c r="N20" s="113" t="s">
        <v>135</v>
      </c>
      <c r="P20" s="124" t="s">
        <v>146</v>
      </c>
      <c r="Q20" s="125" t="s">
        <v>93</v>
      </c>
      <c r="V20" s="2" t="s">
        <v>150</v>
      </c>
    </row>
    <row r="21" spans="1:22">
      <c r="A21" s="4" t="str" cm="1">
        <f t="array" ref="A21:A30">A3:A12</f>
        <v>Tank</v>
      </c>
      <c r="B21" s="2" t="s">
        <v>119</v>
      </c>
      <c r="C21" s="2" t="s">
        <v>119</v>
      </c>
      <c r="D21" s="2" t="s">
        <v>119</v>
      </c>
      <c r="E21" s="2" t="s">
        <v>119</v>
      </c>
      <c r="F21" s="2" t="s">
        <v>119</v>
      </c>
      <c r="G21" s="2" t="s">
        <v>119</v>
      </c>
      <c r="H21" s="2" t="s">
        <v>119</v>
      </c>
      <c r="I21" s="2" t="s">
        <v>119</v>
      </c>
      <c r="J21" s="2" t="s">
        <v>119</v>
      </c>
      <c r="K21" s="2" t="s">
        <v>119</v>
      </c>
      <c r="L21" s="2" t="s">
        <v>119</v>
      </c>
      <c r="M21" s="2" t="s">
        <v>119</v>
      </c>
      <c r="N21" s="5" t="str" cm="1">
        <f t="array" ref="N21:N30">I21:I30</f>
        <v>-</v>
      </c>
      <c r="P21" s="4">
        <v>30000</v>
      </c>
      <c r="Q21" s="126">
        <v>403</v>
      </c>
    </row>
    <row r="22" spans="1:22">
      <c r="A22" s="4">
        <v>9</v>
      </c>
      <c r="B22" s="2" cm="1">
        <f t="array" ref="B22:B30">B4:B12/2</f>
        <v>48</v>
      </c>
      <c r="C22" s="10" cm="1">
        <f t="array" ref="C22:C30">C4:C12</f>
        <v>0.4375</v>
      </c>
      <c r="D22" s="2">
        <f>IF(B22=0,0,B22/C22)</f>
        <v>109.71428571428571</v>
      </c>
      <c r="E22" s="2" cm="1">
        <f t="array" ref="E22:E30">D4:D12</f>
        <v>131.34557098192013</v>
      </c>
      <c r="F22" s="2" cm="1">
        <f t="array" ref="F22:F30">E4:E12</f>
        <v>149937.25436666078</v>
      </c>
      <c r="G22" s="2">
        <f>IF(B22=0,0,SQRT(F22/E22))</f>
        <v>33.786799960376534</v>
      </c>
      <c r="H22" s="2">
        <f>IF(B22=0,0,MAX(0.125,1022/(195+D22)))</f>
        <v>3.3539615564932022</v>
      </c>
      <c r="I22" s="2">
        <f>IF(B22=0,0,IF(D22&lt;$B$18,MIN(233*$B$15/2/(166+D22),$B$15/2),H22*$B$19/2/D22)/1000)</f>
        <v>15.21139896373057</v>
      </c>
      <c r="J22" s="2">
        <f>IF(B22=0,0,$B$16*$B$17/G22)</f>
        <v>132.01605376155581</v>
      </c>
      <c r="K22" s="2">
        <f>IF(B22=0,0,SQRT(PI()^2*$B$19/I22/1000))</f>
        <v>137.17162801650639</v>
      </c>
      <c r="L22" s="2">
        <f>IF(B22=0,0,IF(J22&gt;K22,0.5*(K22/J22)^2,IF(J22&lt;25,1,1-0.5*(J22/K22)^2)))</f>
        <v>0.53687853385405448</v>
      </c>
      <c r="M22" s="2">
        <f>IF(B22=0,0,L22*I22)</f>
        <v>8.1666735735167517</v>
      </c>
      <c r="N22" s="5">
        <v>15.21139896373057</v>
      </c>
      <c r="P22" s="4">
        <v>32000</v>
      </c>
      <c r="Q22" s="126">
        <v>377</v>
      </c>
    </row>
    <row r="23" spans="1:22">
      <c r="A23" s="4">
        <v>8</v>
      </c>
      <c r="B23" s="2">
        <v>48</v>
      </c>
      <c r="C23" s="2">
        <v>0.5</v>
      </c>
      <c r="D23" s="2">
        <f t="shared" ref="D23:D30" si="10">IF(B23=0,0,B23/C23)</f>
        <v>96</v>
      </c>
      <c r="E23" s="2">
        <v>150.01104920891262</v>
      </c>
      <c r="F23" s="2">
        <v>171021.97178873594</v>
      </c>
      <c r="G23" s="2">
        <f t="shared" ref="G23:G30" si="11">IF(B23=0,0,SQRT(F23/E23))</f>
        <v>33.764811564704459</v>
      </c>
      <c r="H23" s="2">
        <f t="shared" ref="H23:H30" si="12">IF(B23=0,0,MAX(0.125,1022/(195+D23)))</f>
        <v>3.5120274914089347</v>
      </c>
      <c r="I23" s="2">
        <f t="shared" ref="I23:I30" si="13">IF(B23=0,0,IF(D23&lt;$B$18,MIN(233*$B$15/2/(166+D23),$B$15/2),H23*$B$19/2/D23)/1000)</f>
        <v>16.007633587786259</v>
      </c>
      <c r="J23" s="2">
        <f t="shared" ref="J23:J30" si="14">IF(B23=0,0,$B$16*$B$17/G23)</f>
        <v>132.10202554965872</v>
      </c>
      <c r="K23" s="2">
        <f t="shared" ref="K23:K30" si="15">IF(B23=0,0,SQRT(PI()^2*$B$19/I23/1000))</f>
        <v>133.71659351722036</v>
      </c>
      <c r="L23" s="2">
        <f t="shared" ref="L23:L30" si="16">IF(B23=0,0,IF(J23&gt;K23,0.5*(K23/J23)^2,IF(J23&lt;25,1,1-0.5*(J23/K23)^2)))</f>
        <v>0.51200165464040603</v>
      </c>
      <c r="M23" s="2">
        <f t="shared" ref="M23:M30" si="17">IF(B23=0,0,L23*I23)</f>
        <v>8.1959348838239041</v>
      </c>
      <c r="N23" s="5">
        <v>16.007633587786259</v>
      </c>
      <c r="P23" s="4">
        <v>34000</v>
      </c>
      <c r="Q23" s="126">
        <v>354</v>
      </c>
    </row>
    <row r="24" spans="1:22">
      <c r="A24" s="4">
        <v>7</v>
      </c>
      <c r="B24" s="2">
        <v>48</v>
      </c>
      <c r="C24" s="2">
        <v>0.5625</v>
      </c>
      <c r="D24" s="2">
        <f t="shared" si="10"/>
        <v>85.333333333333329</v>
      </c>
      <c r="E24" s="2">
        <v>168.65198374329893</v>
      </c>
      <c r="F24" s="2">
        <v>192023.62412717866</v>
      </c>
      <c r="G24" s="2">
        <f t="shared" si="11"/>
        <v>33.742837781705617</v>
      </c>
      <c r="H24" s="2">
        <f t="shared" si="12"/>
        <v>3.6456599286563618</v>
      </c>
      <c r="I24" s="2">
        <f t="shared" si="13"/>
        <v>16.687002652519894</v>
      </c>
      <c r="J24" s="2">
        <f t="shared" si="14"/>
        <v>132.18805213882453</v>
      </c>
      <c r="K24" s="2">
        <f t="shared" si="15"/>
        <v>130.96634401449222</v>
      </c>
      <c r="L24" s="2">
        <f t="shared" si="16"/>
        <v>0.49080051131257119</v>
      </c>
      <c r="M24" s="2">
        <f t="shared" si="17"/>
        <v>8.1899894341309949</v>
      </c>
      <c r="N24" s="5">
        <v>16.687002652519894</v>
      </c>
      <c r="P24" s="4">
        <v>36000</v>
      </c>
      <c r="Q24" s="126">
        <v>334</v>
      </c>
    </row>
    <row r="25" spans="1:22">
      <c r="A25" s="4">
        <v>6</v>
      </c>
      <c r="B25" s="2">
        <v>48</v>
      </c>
      <c r="C25" s="2">
        <v>0.625</v>
      </c>
      <c r="D25" s="2">
        <f t="shared" si="10"/>
        <v>76.8</v>
      </c>
      <c r="E25" s="2">
        <v>187.26837458507907</v>
      </c>
      <c r="F25" s="2">
        <v>212942.42983044049</v>
      </c>
      <c r="G25" s="2">
        <f t="shared" si="11"/>
        <v>33.720878639946498</v>
      </c>
      <c r="H25" s="2">
        <f t="shared" si="12"/>
        <v>3.7601177336276672</v>
      </c>
      <c r="I25" s="2">
        <f t="shared" si="13"/>
        <v>17.273476112026358</v>
      </c>
      <c r="J25" s="2">
        <f t="shared" si="14"/>
        <v>132.27413341229229</v>
      </c>
      <c r="K25" s="2">
        <f t="shared" si="15"/>
        <v>128.72384383112774</v>
      </c>
      <c r="L25" s="2">
        <f t="shared" si="16"/>
        <v>0.47351981140288629</v>
      </c>
      <c r="M25" s="2">
        <f t="shared" si="17"/>
        <v>8.1793331508389837</v>
      </c>
      <c r="N25" s="5">
        <v>17.273476112026358</v>
      </c>
      <c r="P25" s="4">
        <v>38000</v>
      </c>
      <c r="Q25" s="126">
        <v>316</v>
      </c>
    </row>
    <row r="26" spans="1:22" ht="15.75" thickBot="1">
      <c r="A26" s="4">
        <v>5</v>
      </c>
      <c r="B26" s="2">
        <v>0</v>
      </c>
      <c r="C26" s="2">
        <v>0</v>
      </c>
      <c r="D26" s="2">
        <f t="shared" si="10"/>
        <v>0</v>
      </c>
      <c r="E26" s="2">
        <v>0</v>
      </c>
      <c r="F26" s="2">
        <v>0</v>
      </c>
      <c r="G26" s="2">
        <f t="shared" si="11"/>
        <v>0</v>
      </c>
      <c r="H26" s="2">
        <f t="shared" si="12"/>
        <v>0</v>
      </c>
      <c r="I26" s="2">
        <f t="shared" si="13"/>
        <v>0</v>
      </c>
      <c r="J26" s="2">
        <f t="shared" si="14"/>
        <v>0</v>
      </c>
      <c r="K26" s="2">
        <f t="shared" si="15"/>
        <v>0</v>
      </c>
      <c r="L26" s="2">
        <f t="shared" si="16"/>
        <v>0</v>
      </c>
      <c r="M26" s="2">
        <f t="shared" si="17"/>
        <v>0</v>
      </c>
      <c r="N26" s="5">
        <v>0</v>
      </c>
      <c r="P26" s="6">
        <v>40000</v>
      </c>
      <c r="Q26" s="127">
        <v>299</v>
      </c>
    </row>
    <row r="27" spans="1:22">
      <c r="A27" s="4">
        <v>4</v>
      </c>
      <c r="B27" s="2">
        <v>0</v>
      </c>
      <c r="C27" s="2">
        <v>0</v>
      </c>
      <c r="D27" s="2">
        <f t="shared" si="10"/>
        <v>0</v>
      </c>
      <c r="E27" s="2">
        <v>0</v>
      </c>
      <c r="F27" s="2">
        <v>0</v>
      </c>
      <c r="G27" s="2">
        <f t="shared" si="11"/>
        <v>0</v>
      </c>
      <c r="H27" s="2">
        <f t="shared" si="12"/>
        <v>0</v>
      </c>
      <c r="I27" s="2">
        <f t="shared" si="13"/>
        <v>0</v>
      </c>
      <c r="J27" s="2">
        <f t="shared" si="14"/>
        <v>0</v>
      </c>
      <c r="K27" s="2">
        <f t="shared" si="15"/>
        <v>0</v>
      </c>
      <c r="L27" s="2">
        <f t="shared" si="16"/>
        <v>0</v>
      </c>
      <c r="M27" s="2">
        <f t="shared" si="17"/>
        <v>0</v>
      </c>
      <c r="N27" s="5">
        <v>0</v>
      </c>
      <c r="O27" s="4"/>
      <c r="P27" s="168"/>
      <c r="Q27" s="168"/>
    </row>
    <row r="28" spans="1:22">
      <c r="A28" s="4">
        <v>3</v>
      </c>
      <c r="B28" s="2">
        <v>64.319999999999993</v>
      </c>
      <c r="C28" s="2">
        <v>0.625</v>
      </c>
      <c r="D28" s="2">
        <f t="shared" si="10"/>
        <v>102.91199999999999</v>
      </c>
      <c r="E28" s="2">
        <v>251.35686471830971</v>
      </c>
      <c r="F28" s="2">
        <v>514911.79059198342</v>
      </c>
      <c r="G28" s="2">
        <f t="shared" si="11"/>
        <v>45.260676710031561</v>
      </c>
      <c r="H28" s="2">
        <f t="shared" si="12"/>
        <v>3.4305432476704532</v>
      </c>
      <c r="I28" s="2">
        <f t="shared" si="13"/>
        <v>15.596180163027311</v>
      </c>
      <c r="J28" s="2">
        <f t="shared" si="14"/>
        <v>98.549123084838882</v>
      </c>
      <c r="K28" s="2">
        <f t="shared" si="15"/>
        <v>135.46894540771166</v>
      </c>
      <c r="L28" s="2">
        <f t="shared" si="16"/>
        <v>0.73539622683807271</v>
      </c>
      <c r="M28" s="2">
        <f t="shared" si="17"/>
        <v>11.469372044977082</v>
      </c>
      <c r="N28" s="5">
        <v>15.596180163027311</v>
      </c>
      <c r="O28" s="4"/>
    </row>
    <row r="29" spans="1:22">
      <c r="A29" s="4">
        <v>2</v>
      </c>
      <c r="B29" s="2">
        <v>92.88</v>
      </c>
      <c r="C29" s="2">
        <v>0.5625</v>
      </c>
      <c r="D29" s="2">
        <f t="shared" si="10"/>
        <v>165.12</v>
      </c>
      <c r="E29" s="2">
        <v>327.27099682304691</v>
      </c>
      <c r="F29" s="2">
        <v>1403110.1888206052</v>
      </c>
      <c r="G29" s="2">
        <f t="shared" si="11"/>
        <v>65.477506073173885</v>
      </c>
      <c r="H29" s="2">
        <f t="shared" si="12"/>
        <v>2.8379429079195821</v>
      </c>
      <c r="I29" s="2">
        <f t="shared" si="13"/>
        <v>12.666102923411453</v>
      </c>
      <c r="J29" s="2">
        <f t="shared" si="14"/>
        <v>68.121103986693001</v>
      </c>
      <c r="K29" s="2">
        <f t="shared" si="15"/>
        <v>150.32366833645938</v>
      </c>
      <c r="L29" s="2">
        <f t="shared" si="16"/>
        <v>0.89732170959780744</v>
      </c>
      <c r="M29" s="2">
        <f t="shared" si="17"/>
        <v>11.365569129177352</v>
      </c>
      <c r="N29" s="5">
        <v>12.666102923411453</v>
      </c>
    </row>
    <row r="30" spans="1:22" ht="15.75" thickBot="1">
      <c r="A30" s="130">
        <v>1</v>
      </c>
      <c r="B30" s="131">
        <v>150</v>
      </c>
      <c r="C30" s="131">
        <v>0.4375</v>
      </c>
      <c r="D30" s="7">
        <f t="shared" si="10"/>
        <v>342.85714285714283</v>
      </c>
      <c r="E30" s="131">
        <v>411.73271531480918</v>
      </c>
      <c r="F30" s="131">
        <v>4618502.7696240963</v>
      </c>
      <c r="G30" s="7">
        <f t="shared" si="11"/>
        <v>105.91145052147336</v>
      </c>
      <c r="H30" s="7">
        <f t="shared" si="12"/>
        <v>1.9001328021248338</v>
      </c>
      <c r="I30" s="7">
        <f t="shared" si="13"/>
        <v>80.359783089862773</v>
      </c>
      <c r="J30" s="7">
        <f t="shared" si="14"/>
        <v>42.114426514210216</v>
      </c>
      <c r="K30" s="7">
        <f t="shared" si="15"/>
        <v>59.680093344471516</v>
      </c>
      <c r="L30" s="7">
        <f t="shared" si="16"/>
        <v>0.75101522063707937</v>
      </c>
      <c r="M30" s="7">
        <f t="shared" si="17"/>
        <v>60.35142022758113</v>
      </c>
      <c r="N30" s="132">
        <v>80.359783089862773</v>
      </c>
    </row>
    <row r="31" spans="1:22" ht="15.75" thickBot="1"/>
    <row r="32" spans="1:22" ht="18.75" thickBot="1">
      <c r="A32" s="124" t="str" cm="1">
        <f t="array" ref="A32:A42">A20:A30</f>
        <v>Segement</v>
      </c>
      <c r="B32" s="125" t="s">
        <v>87</v>
      </c>
      <c r="C32" s="125" t="s">
        <v>86</v>
      </c>
      <c r="D32" s="128" t="s">
        <v>136</v>
      </c>
    </row>
    <row r="33" spans="1:4">
      <c r="A33" s="4" t="str">
        <v>Tank</v>
      </c>
      <c r="B33" s="126" t="s">
        <v>119</v>
      </c>
      <c r="C33" s="126" t="s">
        <v>119</v>
      </c>
      <c r="D33" s="5" t="s">
        <v>119</v>
      </c>
    </row>
    <row r="34" spans="1:4">
      <c r="A34" s="4">
        <v>9</v>
      </c>
      <c r="B34" s="126">
        <f>IF(D4=0,0,(J4+K4+L4)/D4)</f>
        <v>10.425662977875096</v>
      </c>
      <c r="C34" s="126">
        <f>IF(F4=0,0,S4*12/F4)</f>
        <v>2.7156059677375204</v>
      </c>
      <c r="D34" s="5">
        <f>IF(B34+C34=0,"NA",B34/M22+C34/N22)</f>
        <v>1.4551351197501075</v>
      </c>
    </row>
    <row r="35" spans="1:4">
      <c r="A35" s="4">
        <v>8</v>
      </c>
      <c r="B35" s="126">
        <f t="shared" ref="B35:B42" si="18">IF(D5=0,0,(J5+K5+L5)/D5)</f>
        <v>9.2917586321060028</v>
      </c>
      <c r="C35" s="126">
        <f t="shared" ref="C35:C42" si="19">IF(F5=0,0,S5*12/F5)</f>
        <v>5.8117451945939242</v>
      </c>
      <c r="D35" s="5">
        <f t="shared" ref="D35:D42" si="20">IF(B35+C35=0,"NA",B35/M23+C35/N23)</f>
        <v>1.4967641839490844</v>
      </c>
    </row>
    <row r="36" spans="1:4">
      <c r="A36" s="4">
        <v>7</v>
      </c>
      <c r="B36" s="126">
        <f t="shared" si="18"/>
        <v>8.3736387629239477</v>
      </c>
      <c r="C36" s="126">
        <f t="shared" si="19"/>
        <v>7.7285675957651856</v>
      </c>
      <c r="D36" s="5">
        <f t="shared" si="20"/>
        <v>1.485572574725823</v>
      </c>
    </row>
    <row r="37" spans="1:4">
      <c r="A37" s="4">
        <v>6</v>
      </c>
      <c r="B37" s="126">
        <f t="shared" si="18"/>
        <v>7.5712713381858219</v>
      </c>
      <c r="C37" s="126">
        <f t="shared" si="19"/>
        <v>7.6648577855180458</v>
      </c>
      <c r="D37" s="5">
        <f t="shared" si="20"/>
        <v>1.3693944414118127</v>
      </c>
    </row>
    <row r="38" spans="1:4">
      <c r="A38" s="4">
        <v>5</v>
      </c>
      <c r="B38" s="126">
        <f t="shared" si="18"/>
        <v>0</v>
      </c>
      <c r="C38" s="126">
        <f t="shared" si="19"/>
        <v>0</v>
      </c>
      <c r="D38" s="5" t="str">
        <f t="shared" si="20"/>
        <v>NA</v>
      </c>
    </row>
    <row r="39" spans="1:4">
      <c r="A39" s="4">
        <v>4</v>
      </c>
      <c r="B39" s="126">
        <f t="shared" si="18"/>
        <v>0</v>
      </c>
      <c r="C39" s="126">
        <f t="shared" si="19"/>
        <v>0</v>
      </c>
      <c r="D39" s="5" t="str">
        <f t="shared" si="20"/>
        <v>NA</v>
      </c>
    </row>
    <row r="40" spans="1:4">
      <c r="A40" s="4">
        <v>3</v>
      </c>
      <c r="B40" s="126">
        <f t="shared" si="18"/>
        <v>5.6527148309117017</v>
      </c>
      <c r="C40" s="126">
        <f t="shared" si="19"/>
        <v>4.4269430526959539</v>
      </c>
      <c r="D40" s="5">
        <f t="shared" si="20"/>
        <v>0.77670093997802003</v>
      </c>
    </row>
    <row r="41" spans="1:4">
      <c r="A41" s="4">
        <v>2</v>
      </c>
      <c r="B41" s="126">
        <f t="shared" si="18"/>
        <v>4.3617326035660824</v>
      </c>
      <c r="C41" s="126">
        <f t="shared" si="19"/>
        <v>2.5177152949040811</v>
      </c>
      <c r="D41" s="5">
        <f t="shared" si="20"/>
        <v>0.58254304038967109</v>
      </c>
    </row>
    <row r="42" spans="1:4" ht="15.75" thickBot="1">
      <c r="A42" s="6">
        <v>1</v>
      </c>
      <c r="B42" s="127">
        <f t="shared" si="18"/>
        <v>3.5055496523784275</v>
      </c>
      <c r="C42" s="127">
        <f t="shared" si="19"/>
        <v>1.4191664662701868</v>
      </c>
      <c r="D42" s="8">
        <f t="shared" si="20"/>
        <v>7.5745777844610229E-2</v>
      </c>
    </row>
  </sheetData>
  <mergeCells count="4">
    <mergeCell ref="M1:S1"/>
    <mergeCell ref="G1:I1"/>
    <mergeCell ref="J1:L1"/>
    <mergeCell ref="A14:C1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G9"/>
  <sheetViews>
    <sheetView zoomScale="130" zoomScaleNormal="130" workbookViewId="0">
      <selection activeCell="E1" sqref="E1:G1"/>
    </sheetView>
  </sheetViews>
  <sheetFormatPr defaultRowHeight="15"/>
  <cols>
    <col min="1" max="1" width="19.42578125" style="3" bestFit="1" customWidth="1"/>
    <col min="2" max="2" width="7.5703125" style="3" bestFit="1" customWidth="1"/>
    <col min="3" max="3" width="4.7109375" style="3" bestFit="1" customWidth="1"/>
    <col min="4" max="4" width="9.140625" style="3"/>
    <col min="5" max="5" width="18.7109375" style="3" bestFit="1" customWidth="1"/>
    <col min="6" max="6" width="3" style="3" bestFit="1" customWidth="1"/>
    <col min="7" max="7" width="4.7109375" style="3" bestFit="1" customWidth="1"/>
    <col min="8" max="16384" width="9.140625" style="3"/>
  </cols>
  <sheetData>
    <row r="1" spans="1:7" ht="15.75" thickBot="1">
      <c r="A1" s="177" t="s">
        <v>39</v>
      </c>
      <c r="B1" s="178"/>
      <c r="C1" s="179"/>
      <c r="D1" s="2"/>
      <c r="E1" s="177" t="s">
        <v>44</v>
      </c>
      <c r="F1" s="178"/>
      <c r="G1" s="179"/>
    </row>
    <row r="2" spans="1:7" ht="15.75" thickBot="1">
      <c r="A2" s="4" t="s">
        <v>41</v>
      </c>
      <c r="B2" s="2">
        <v>17</v>
      </c>
      <c r="C2" s="5" t="s">
        <v>3</v>
      </c>
      <c r="D2" s="2"/>
      <c r="E2" s="6" t="s">
        <v>44</v>
      </c>
      <c r="F2" s="7">
        <v>15</v>
      </c>
      <c r="G2" s="8" t="s">
        <v>1</v>
      </c>
    </row>
    <row r="3" spans="1:7" ht="16.5">
      <c r="A3" s="4" t="s">
        <v>42</v>
      </c>
      <c r="B3" s="10">
        <f>B2^2*PI()/4</f>
        <v>226.98006922186255</v>
      </c>
      <c r="C3" s="5" t="s">
        <v>11</v>
      </c>
      <c r="D3" s="2"/>
    </row>
    <row r="4" spans="1:7">
      <c r="A4" s="4" t="s">
        <v>40</v>
      </c>
      <c r="B4" s="2">
        <v>25</v>
      </c>
      <c r="C4" s="5" t="s">
        <v>35</v>
      </c>
      <c r="D4" s="2"/>
    </row>
    <row r="5" spans="1:7" ht="15.75" thickBot="1">
      <c r="A5" s="6" t="s">
        <v>43</v>
      </c>
      <c r="B5" s="9">
        <f>B4*B3/1000</f>
        <v>5.6745017305465639</v>
      </c>
      <c r="C5" s="8" t="s">
        <v>1</v>
      </c>
      <c r="D5" s="2"/>
    </row>
    <row r="6" spans="1:7">
      <c r="D6" s="2"/>
    </row>
    <row r="7" spans="1:7">
      <c r="D7" s="2"/>
    </row>
    <row r="8" spans="1:7">
      <c r="D8" s="2"/>
    </row>
    <row r="9" spans="1:7">
      <c r="D9" s="2"/>
    </row>
  </sheetData>
  <mergeCells count="2">
    <mergeCell ref="A1:C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G6"/>
  <sheetViews>
    <sheetView workbookViewId="0">
      <selection activeCell="B1" sqref="B1"/>
    </sheetView>
  </sheetViews>
  <sheetFormatPr defaultRowHeight="15"/>
  <cols>
    <col min="1" max="1" width="13.42578125" style="1" bestFit="1" customWidth="1"/>
    <col min="2" max="2" width="13.42578125" style="1" customWidth="1"/>
    <col min="3" max="3" width="20.42578125" style="1" bestFit="1" customWidth="1"/>
    <col min="4" max="4" width="19.7109375" style="1" bestFit="1" customWidth="1"/>
    <col min="5" max="6" width="17.5703125" style="1" bestFit="1" customWidth="1"/>
    <col min="7" max="7" width="18" style="1" bestFit="1" customWidth="1"/>
    <col min="8" max="16384" width="9.140625" style="1"/>
  </cols>
  <sheetData>
    <row r="1" spans="1:7" ht="16.5">
      <c r="A1" s="80" t="s">
        <v>99</v>
      </c>
      <c r="B1" s="100" t="s">
        <v>112</v>
      </c>
      <c r="C1" s="82" t="s">
        <v>107</v>
      </c>
      <c r="D1" s="81" t="s">
        <v>98</v>
      </c>
      <c r="E1" s="81" t="s">
        <v>97</v>
      </c>
      <c r="F1" s="81" t="s">
        <v>96</v>
      </c>
      <c r="G1" s="82" t="s">
        <v>100</v>
      </c>
    </row>
    <row r="2" spans="1:7">
      <c r="A2" s="83">
        <v>150000</v>
      </c>
      <c r="B2" s="101">
        <v>22.9</v>
      </c>
      <c r="C2" s="87">
        <v>38.884999999999998</v>
      </c>
      <c r="D2" s="78">
        <v>1283</v>
      </c>
      <c r="E2" s="77">
        <v>54.9636</v>
      </c>
      <c r="F2" s="78">
        <f>E2+D2</f>
        <v>1337.9636</v>
      </c>
      <c r="G2" s="87">
        <v>710.41808800000001</v>
      </c>
    </row>
    <row r="3" spans="1:7">
      <c r="A3" s="85">
        <v>250000</v>
      </c>
      <c r="B3" s="102">
        <v>23.4</v>
      </c>
      <c r="C3" s="86">
        <v>43.94</v>
      </c>
      <c r="D3" s="76">
        <v>2122</v>
      </c>
      <c r="E3" s="76">
        <v>77.491799999999998</v>
      </c>
      <c r="F3" s="79">
        <f>E3+D3</f>
        <v>2199.4917999999998</v>
      </c>
      <c r="G3" s="86">
        <v>1292</v>
      </c>
    </row>
    <row r="4" spans="1:7">
      <c r="A4" s="83">
        <v>500000</v>
      </c>
      <c r="B4" s="101">
        <v>25.27</v>
      </c>
      <c r="C4" s="84">
        <v>54.26</v>
      </c>
      <c r="D4" s="77">
        <v>4305</v>
      </c>
      <c r="E4" s="77">
        <v>142.80009999999999</v>
      </c>
      <c r="F4" s="78">
        <f>E4+D4</f>
        <v>4447.8001000000004</v>
      </c>
      <c r="G4" s="84">
        <v>1530</v>
      </c>
    </row>
    <row r="5" spans="1:7">
      <c r="A5" s="85">
        <v>750000</v>
      </c>
      <c r="B5" s="102">
        <v>29.4</v>
      </c>
      <c r="C5" s="86">
        <v>62.15</v>
      </c>
      <c r="D5" s="76">
        <v>6257</v>
      </c>
      <c r="E5" s="76">
        <v>234.29</v>
      </c>
      <c r="F5" s="79">
        <f>E5+D5</f>
        <v>6491.29</v>
      </c>
      <c r="G5" s="86">
        <v>2016</v>
      </c>
    </row>
    <row r="6" spans="1:7" ht="15.75" thickBot="1">
      <c r="A6" s="96">
        <v>1000000</v>
      </c>
      <c r="B6" s="103" t="s">
        <v>113</v>
      </c>
      <c r="C6" s="99">
        <v>0</v>
      </c>
      <c r="D6" s="97">
        <f>D4*2</f>
        <v>8610</v>
      </c>
      <c r="E6" s="97">
        <f>E4*2</f>
        <v>285.60019999999997</v>
      </c>
      <c r="F6" s="98">
        <f>E6+D6</f>
        <v>8895.6002000000008</v>
      </c>
      <c r="G6" s="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weight modified</vt:lpstr>
      <vt:lpstr>Design table</vt:lpstr>
      <vt:lpstr>Content, Snow and  miscell.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Chaudhary, Nikhil  - SDSU Student</cp:lastModifiedBy>
  <cp:lastPrinted>2024-11-22T08:02:25Z</cp:lastPrinted>
  <dcterms:created xsi:type="dcterms:W3CDTF">2024-07-03T18:36:11Z</dcterms:created>
  <dcterms:modified xsi:type="dcterms:W3CDTF">2025-03-24T23:42:26Z</dcterms:modified>
</cp:coreProperties>
</file>