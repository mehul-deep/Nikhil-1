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hmadrafi.faqiri\Desktop\5. Water Tank Sperical Foundition\"/>
    </mc:Choice>
  </mc:AlternateContent>
  <xr:revisionPtr revIDLastSave="0" documentId="13_ncr:1_{9B17BA30-F492-4300-83B3-7DFB54E7BDA4}" xr6:coauthVersionLast="47" xr6:coauthVersionMax="47" xr10:uidLastSave="{00000000-0000-0000-0000-000000000000}"/>
  <bookViews>
    <workbookView xWindow="-120" yWindow="-120" windowWidth="25440" windowHeight="15270" activeTab="3" xr2:uid="{00000000-000D-0000-FFFF-FFFF00000000}"/>
  </bookViews>
  <sheets>
    <sheet name="ACI 318-19 " sheetId="1" r:id="rId1"/>
    <sheet name="Wind and Seismic" sheetId="10" r:id="rId2"/>
    <sheet name="Loads " sheetId="11" r:id="rId3"/>
    <sheet name="Inputs" sheetId="2" r:id="rId4"/>
    <sheet name="Geometry" sheetId="3" r:id="rId5"/>
    <sheet name="Bearing &amp; Stability" sheetId="4" r:id="rId6"/>
    <sheet name="Flexure (Ring Footing)" sheetId="5" r:id="rId7"/>
    <sheet name="Shear Checks (legacy)" sheetId="6" state="hidden" r:id="rId8"/>
    <sheet name="Shear &amp; Bearing (ACI 21-22)" sheetId="7" r:id="rId9"/>
    <sheet name="Summary" sheetId="8" r:id="rId10"/>
    <sheet name="Thank Information " sheetId="9" r:id="rId11"/>
  </sheets>
  <externalReferences>
    <externalReference r:id="rId1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3" i="2" l="1"/>
  <c r="F14" i="8"/>
  <c r="F6" i="4"/>
  <c r="F12" i="3"/>
  <c r="F17" i="5" l="1"/>
  <c r="F14" i="5"/>
  <c r="F18" i="5"/>
  <c r="F30" i="2"/>
  <c r="B10" i="11"/>
  <c r="S8" i="11"/>
  <c r="Q8" i="11"/>
  <c r="S7" i="11"/>
  <c r="B7" i="11"/>
  <c r="S6" i="11"/>
  <c r="Q6" i="11"/>
  <c r="I15" i="11" s="1"/>
  <c r="B4" i="11"/>
  <c r="B11" i="11" s="1"/>
  <c r="Q3" i="11"/>
  <c r="F3" i="11"/>
  <c r="F4" i="11" s="1"/>
  <c r="Q2" i="11"/>
  <c r="K66" i="10"/>
  <c r="H66" i="10"/>
  <c r="B65" i="10"/>
  <c r="B64" i="10"/>
  <c r="B63" i="10"/>
  <c r="B62" i="10"/>
  <c r="B68" i="10" s="1"/>
  <c r="B61" i="10"/>
  <c r="B54" i="10" s="1"/>
  <c r="B56" i="10" s="1"/>
  <c r="B58" i="10" s="1"/>
  <c r="B60" i="10"/>
  <c r="B55" i="10"/>
  <c r="B57" i="10" s="1"/>
  <c r="K48" i="10"/>
  <c r="H48" i="10"/>
  <c r="N48" i="10" s="1"/>
  <c r="E48" i="10"/>
  <c r="B48" i="10"/>
  <c r="B47" i="10"/>
  <c r="B41" i="10"/>
  <c r="K40" i="10"/>
  <c r="K42" i="10" s="1"/>
  <c r="E40" i="10"/>
  <c r="B40" i="10"/>
  <c r="B42" i="10" s="1"/>
  <c r="K39" i="10"/>
  <c r="K47" i="10" s="1"/>
  <c r="E39" i="10"/>
  <c r="E47" i="10" s="1"/>
  <c r="B39" i="10"/>
  <c r="K38" i="10"/>
  <c r="H38" i="10"/>
  <c r="E38" i="10"/>
  <c r="B38" i="10"/>
  <c r="K36" i="10"/>
  <c r="B36" i="10"/>
  <c r="E34" i="10"/>
  <c r="E36" i="10" s="1"/>
  <c r="K30" i="10"/>
  <c r="N30" i="10" s="1"/>
  <c r="H30" i="10"/>
  <c r="E30" i="10"/>
  <c r="B30" i="10"/>
  <c r="K29" i="10"/>
  <c r="B29" i="10"/>
  <c r="K21" i="10"/>
  <c r="B21" i="10"/>
  <c r="K20" i="10"/>
  <c r="H20" i="10"/>
  <c r="E20" i="10"/>
  <c r="B20" i="10"/>
  <c r="K18" i="10"/>
  <c r="B18" i="10"/>
  <c r="E16" i="10" s="1"/>
  <c r="B12" i="10"/>
  <c r="B8" i="10"/>
  <c r="K23" i="10" s="1"/>
  <c r="K25" i="10" s="1"/>
  <c r="B7" i="10"/>
  <c r="N5" i="10"/>
  <c r="N10" i="10" s="1"/>
  <c r="N11" i="10" s="1"/>
  <c r="N13" i="10" s="1"/>
  <c r="N4" i="10"/>
  <c r="G8" i="9"/>
  <c r="G7" i="9"/>
  <c r="G6" i="9"/>
  <c r="G5" i="9"/>
  <c r="G4" i="9"/>
  <c r="G3" i="9"/>
  <c r="G2" i="9"/>
  <c r="A16" i="11" l="1"/>
  <c r="A15" i="11"/>
  <c r="E16" i="11"/>
  <c r="Q4" i="11"/>
  <c r="Q7" i="11"/>
  <c r="Q5" i="11"/>
  <c r="I16" i="11"/>
  <c r="H34" i="10"/>
  <c r="E41" i="10"/>
  <c r="B59" i="10"/>
  <c r="B66" i="10" s="1"/>
  <c r="E18" i="10"/>
  <c r="H16" i="10" s="1"/>
  <c r="E21" i="10"/>
  <c r="E29" i="10" s="1"/>
  <c r="B45" i="10"/>
  <c r="B44" i="10"/>
  <c r="B69" i="10"/>
  <c r="B70" i="10" s="1"/>
  <c r="N15" i="10" s="1"/>
  <c r="K41" i="10"/>
  <c r="K43" i="10" s="1"/>
  <c r="K44" i="10" s="1"/>
  <c r="B22" i="10"/>
  <c r="B24" i="10" s="1"/>
  <c r="B27" i="10" s="1"/>
  <c r="E42" i="10"/>
  <c r="E22" i="10"/>
  <c r="E24" i="10" s="1"/>
  <c r="E26" i="10" s="1"/>
  <c r="K22" i="10"/>
  <c r="K24" i="10" s="1"/>
  <c r="K26" i="10" s="1"/>
  <c r="B43" i="10"/>
  <c r="E43" i="10"/>
  <c r="B23" i="10"/>
  <c r="B25" i="10" s="1"/>
  <c r="E23" i="10"/>
  <c r="E25" i="10" s="1"/>
  <c r="E27" i="10" s="1"/>
  <c r="E28" i="10" s="1"/>
  <c r="E15" i="11" l="1"/>
  <c r="B26" i="10"/>
  <c r="B28" i="10" s="1"/>
  <c r="B46" i="10"/>
  <c r="H18" i="10"/>
  <c r="H23" i="10" s="1"/>
  <c r="H25" i="10" s="1"/>
  <c r="H21" i="10"/>
  <c r="H29" i="10" s="1"/>
  <c r="E45" i="10"/>
  <c r="E46" i="10" s="1"/>
  <c r="E44" i="10"/>
  <c r="H36" i="10"/>
  <c r="H41" i="10" s="1"/>
  <c r="H43" i="10" s="1"/>
  <c r="H40" i="10"/>
  <c r="H42" i="10" s="1"/>
  <c r="H44" i="10" s="1"/>
  <c r="N44" i="10" s="1"/>
  <c r="H39" i="10"/>
  <c r="H47" i="10" s="1"/>
  <c r="H22" i="10"/>
  <c r="H24" i="10" s="1"/>
  <c r="H26" i="10" s="1"/>
  <c r="N26" i="10" s="1"/>
  <c r="B73" i="10" s="1"/>
  <c r="F31" i="2" s="1"/>
  <c r="H45" i="10" l="1"/>
  <c r="H46" i="10" s="1"/>
  <c r="N46" i="10" s="1"/>
  <c r="B74" i="10" s="1"/>
  <c r="N14" i="10"/>
  <c r="H27" i="10"/>
  <c r="H28" i="10" s="1"/>
  <c r="N28" i="10" s="1"/>
  <c r="N16" i="10" l="1"/>
  <c r="F32" i="2"/>
  <c r="F11" i="8"/>
  <c r="C32" i="7"/>
  <c r="F15" i="3"/>
  <c r="F13" i="8"/>
  <c r="F7" i="8"/>
  <c r="F6" i="8"/>
  <c r="F5" i="8"/>
  <c r="C31" i="7"/>
  <c r="C11" i="7"/>
  <c r="C16" i="7" s="1"/>
  <c r="C4" i="7"/>
  <c r="C45" i="7" s="1"/>
  <c r="C46" i="7" s="1"/>
  <c r="C47" i="7" s="1"/>
  <c r="F16" i="8" s="1"/>
  <c r="F9" i="6"/>
  <c r="F8" i="6"/>
  <c r="F7" i="6"/>
  <c r="F32" i="5"/>
  <c r="F34" i="5" s="1"/>
  <c r="F26" i="5"/>
  <c r="F27" i="5" s="1"/>
  <c r="F10" i="5"/>
  <c r="F9" i="5"/>
  <c r="F15" i="5" s="1"/>
  <c r="F8" i="5"/>
  <c r="F7" i="5"/>
  <c r="F6" i="5"/>
  <c r="F11" i="4"/>
  <c r="F8" i="4"/>
  <c r="F7" i="4"/>
  <c r="F13" i="3"/>
  <c r="F15" i="2"/>
  <c r="C5" i="7" s="1"/>
  <c r="C33" i="7" s="1"/>
  <c r="F6" i="6" l="1"/>
  <c r="F21" i="5"/>
  <c r="F19" i="5"/>
  <c r="A20" i="5" s="1"/>
  <c r="C8" i="7"/>
  <c r="F14" i="3"/>
  <c r="F9" i="4" s="1"/>
  <c r="F10" i="4" s="1"/>
  <c r="F14" i="4" s="1"/>
  <c r="F14" i="6"/>
  <c r="F15" i="6" s="1"/>
  <c r="F16" i="6" s="1"/>
  <c r="F11" i="5"/>
  <c r="C34" i="7"/>
  <c r="C35" i="7" s="1"/>
  <c r="C36" i="7" s="1"/>
  <c r="C37" i="7" s="1"/>
  <c r="C38" i="7" s="1"/>
  <c r="F15" i="8" s="1"/>
  <c r="F8" i="8"/>
  <c r="C10" i="7"/>
  <c r="C15" i="7" s="1"/>
  <c r="F35" i="5"/>
  <c r="F20" i="6"/>
  <c r="F21" i="6" s="1"/>
  <c r="F22" i="6" s="1"/>
  <c r="C14" i="7" l="1"/>
  <c r="C22" i="7" s="1"/>
  <c r="C23" i="7" s="1"/>
  <c r="C24" i="7" s="1"/>
  <c r="F22" i="5"/>
  <c r="F23" i="5" s="1"/>
  <c r="F24" i="5" s="1"/>
  <c r="F12" i="8"/>
  <c r="F15" i="4"/>
  <c r="F10" i="8" s="1"/>
  <c r="F9" i="8"/>
</calcChain>
</file>

<file path=xl/sharedStrings.xml><?xml version="1.0" encoding="utf-8"?>
<sst xmlns="http://schemas.openxmlformats.org/spreadsheetml/2006/main" count="692" uniqueCount="386">
  <si>
    <t>ACI 318-19 — Formulas Used in This Workbook (Chapters 19–22)</t>
  </si>
  <si>
    <t>Check / Term</t>
  </si>
  <si>
    <t>ACI 318-19 Ref.</t>
  </si>
  <si>
    <t>Formula (as implemented)</t>
  </si>
  <si>
    <t>Notes / Units</t>
  </si>
  <si>
    <t>Concrete lightweight factor, λ</t>
  </si>
  <si>
    <t>19.2.4.1 / Table 19.2.4.1(a)</t>
  </si>
  <si>
    <t>λ = 1.0 (wc&gt;135 pcf); λ = 0.75 (wc≤100 pcf); else λ = min(1.0, 0.0075·wc)</t>
  </si>
  <si>
    <t>wc = equilibrium density (pcf)</t>
  </si>
  <si>
    <t>Steel modulus, Es</t>
  </si>
  <si>
    <t>20.2.2.2</t>
  </si>
  <si>
    <t>Es = 29,000,000 psi</t>
  </si>
  <si>
    <t>Nonprestressed bars &amp; wires</t>
  </si>
  <si>
    <t>Yield strain, εty</t>
  </si>
  <si>
    <t>21.2.2.1</t>
  </si>
  <si>
    <t>εty = fy/Es</t>
  </si>
  <si>
    <t>Grade 60 permitted εty=0.002</t>
  </si>
  <si>
    <t>Strength reduction factor (shear)</t>
  </si>
  <si>
    <t>Table 21.2.1</t>
  </si>
  <si>
    <t>ϕv = 0.75</t>
  </si>
  <si>
    <t>Used for one-way &amp; punching shear</t>
  </si>
  <si>
    <t>Strength reduction factor (bearing)</t>
  </si>
  <si>
    <t>ϕb = 0.65</t>
  </si>
  <si>
    <t>Used for concrete bearing</t>
  </si>
  <si>
    <t>Strength reduction factor (flexure)</t>
  </si>
  <si>
    <t>Table 21.2.2</t>
  </si>
  <si>
    <t>For ‘Other’: ϕ=0.65 if εt≤εty; ϕ=0.90 if εt≥εty+0.003; else ϕ=0.65+0.25·(εt−εty)/0.003</t>
  </si>
  <si>
    <t>Workbook computes εt at nominal strength</t>
  </si>
  <si>
    <t>Concrete max compressive strain</t>
  </si>
  <si>
    <t>22.2.2.1</t>
  </si>
  <si>
    <t>εcu = 0.003</t>
  </si>
  <si>
    <t>Used in εt calculation</t>
  </si>
  <si>
    <t>Stress block depth</t>
  </si>
  <si>
    <t>22.2.2.4.1</t>
  </si>
  <si>
    <t>a = β1·c</t>
  </si>
  <si>
    <t>Equivalent rectangular stress block</t>
  </si>
  <si>
    <t>β1 factor</t>
  </si>
  <si>
    <t>Table 22.2.2.4.3</t>
  </si>
  <si>
    <t>β1 = 0.85 (fc'≤4000 psi); else β1 = max(0.65, 0.85 − 0.05·(fc'−4000)/1000)</t>
  </si>
  <si>
    <t>Inch-pound units</t>
  </si>
  <si>
    <t>Compression block force</t>
  </si>
  <si>
    <t>C = 0.85·fc'·a·b</t>
  </si>
  <si>
    <t>Used implicitly through a-expression</t>
  </si>
  <si>
    <t>Flexural nominal strength (singly reinforced)</t>
  </si>
  <si>
    <t>22.2 assumptions + equilibrium</t>
  </si>
  <si>
    <t>Mn = As·fy·(d − a/2)</t>
  </si>
  <si>
    <t>Assumes steel yields; check via εt</t>
  </si>
  <si>
    <t>One-way shear size effect factor</t>
  </si>
  <si>
    <t>22.5.5.1.3</t>
  </si>
  <si>
    <t>λs = min(1, 2/(1 + d/10))</t>
  </si>
  <si>
    <t>d in inches</t>
  </si>
  <si>
    <t>One-way shear strength by concrete (no shear reinforcement)</t>
  </si>
  <si>
    <t>Table 22.5.5.1(c)</t>
  </si>
  <si>
    <t>Vc = [8·λs·λ·ρw^(1/3)·√fc' + Nu/(6Ag)]·bw·d; Vc ≥ 0</t>
  </si>
  <si>
    <t>Nu positive compression; ρw=As/(bw·d)</t>
  </si>
  <si>
    <t>Two-way shear stress by concrete (no shear reinforcement)</t>
  </si>
  <si>
    <t>Table 22.6.5.2</t>
  </si>
  <si>
    <t>vc = least of: (a) 4·λs·λ·√fc' ; (b) (2+4/β)·λs·λ·√fc' ; (c) (2+αs·d/b0)·λs·λ·√fc'</t>
  </si>
  <si>
    <t>Vc = vc·b0·d</t>
  </si>
  <si>
    <t>αs for punching</t>
  </si>
  <si>
    <t>22.6.5.3</t>
  </si>
  <si>
    <t>αs = 40 interior; 30 edge; 20 corner</t>
  </si>
  <si>
    <t>User selects location</t>
  </si>
  <si>
    <t>Bearing strength check</t>
  </si>
  <si>
    <t>22.8.3.1</t>
  </si>
  <si>
    <t>ϕ·Bn ≥ Bu</t>
  </si>
  <si>
    <t>Bu factored compressive force</t>
  </si>
  <si>
    <t>Nominal bearing strength</t>
  </si>
  <si>
    <t>Table 22.8.3.2</t>
  </si>
  <si>
    <t>If support wider on all sides: Bn = min(0.85·fc'·A1·√(A2/A1), 2·0.85·fc'·A1); otherwise Bn=0.85·fc'·A1</t>
  </si>
  <si>
    <t>A2 from 1V:2H frustum within support</t>
  </si>
  <si>
    <t>Water Tank Foundation Design (ACI 318-19)</t>
  </si>
  <si>
    <t>Project / References</t>
  </si>
  <si>
    <t>Project</t>
  </si>
  <si>
    <t>Design Standard</t>
  </si>
  <si>
    <t>Units</t>
  </si>
  <si>
    <t>US Customary (in, ft, kip, psi)</t>
  </si>
  <si>
    <t>Material Properties</t>
  </si>
  <si>
    <t>Concrete compressive strength, f'c (psi)</t>
  </si>
  <si>
    <t>Rebar yield strength, fy (psi)</t>
  </si>
  <si>
    <t>Concrete unit weight (pcf)</t>
  </si>
  <si>
    <t>Steel unit weight (pcf)</t>
  </si>
  <si>
    <t>Phi factors (ACI 318-19)</t>
  </si>
  <si>
    <t>Shear: 0.75 (Table 21.2.1), Bearing: 0.65 (Table 21.2.1), Flexure: per Table 21.2.2</t>
  </si>
  <si>
    <t>Steel modulus, Es (psi)</t>
  </si>
  <si>
    <t>ACI 318-19 20.2.2.2</t>
  </si>
  <si>
    <t>Lightweight factor, λ (auto) (19.2.4)</t>
  </si>
  <si>
    <t>Table 19.2.4.1(a)</t>
  </si>
  <si>
    <t>Geotechnical Inputs</t>
  </si>
  <si>
    <t>Allowable soil bearing, q_allow (psf)</t>
  </si>
  <si>
    <t>Soil unit weight, γ_s (pcf)</t>
  </si>
  <si>
    <t>Frost depth (ft)</t>
  </si>
  <si>
    <t>Base friction coefficient μ (if needed)</t>
  </si>
  <si>
    <t>Soil-to-footing contact condition</t>
  </si>
  <si>
    <t>Uniform bearing assumed (service level)</t>
  </si>
  <si>
    <t>Loads (enter best-available values)</t>
  </si>
  <si>
    <t>Water volume (gal)</t>
  </si>
  <si>
    <t>Water unit weight (pcf)</t>
  </si>
  <si>
    <t>Steel tank + appurtenances dead load, W_tank (kips)</t>
  </si>
  <si>
    <t>Concrete foundation self-weight will be computed</t>
  </si>
  <si>
    <t>Snow + roof live load (kips)</t>
  </si>
  <si>
    <t>Wind overturning moment at base (kip-ft)</t>
  </si>
  <si>
    <t>Seismic base shear (kips)</t>
  </si>
  <si>
    <t>Load combinations</t>
  </si>
  <si>
    <t>Ringwall / Ring Footing Geometry (circular)</t>
  </si>
  <si>
    <t>Ringwall thickness (ft)</t>
  </si>
  <si>
    <t>Footing base width, B (ft)</t>
  </si>
  <si>
    <t>Radius to foundation centerline, R_cl (ft)</t>
  </si>
  <si>
    <t>Top of concrete elevation (ft)</t>
  </si>
  <si>
    <t>Footing edge thickness (ft)</t>
  </si>
  <si>
    <t>Concrete cover to rebar (in)</t>
  </si>
  <si>
    <t>Derived Dimensions</t>
  </si>
  <si>
    <t>Inner radius to footing edge, R_in (ft)</t>
  </si>
  <si>
    <t>Outer radius to footing edge, R_out (ft)</t>
  </si>
  <si>
    <t>Footing plan area, A (ft^2)</t>
  </si>
  <si>
    <t>Ringwall centerline radius (ft) (if needed)</t>
  </si>
  <si>
    <t>Soil Bearing, Uplift, and Stability Checks</t>
  </si>
  <si>
    <t>Service-Level Bearing Pressure</t>
  </si>
  <si>
    <t>Enter as needed</t>
  </si>
  <si>
    <t>Footing self-weight, W_f (kips)</t>
  </si>
  <si>
    <t>Total service vertical load, V_s (kips)</t>
  </si>
  <si>
    <t>Allowable bearing, q_allow (ksf)</t>
  </si>
  <si>
    <t>Results</t>
  </si>
  <si>
    <t>OK if &lt;= 1.0</t>
  </si>
  <si>
    <t>Flexural Design (per 1-ft circumferential strip)</t>
  </si>
  <si>
    <t>Inputs</t>
  </si>
  <si>
    <t>Factored moment demand, Mu (kip-in/ft)</t>
  </si>
  <si>
    <t>Effective depth, d (in)</t>
  </si>
  <si>
    <t>Uses edge thickness and cover</t>
  </si>
  <si>
    <t>Strip width, b (in)</t>
  </si>
  <si>
    <t>Concrete strength, f'c (psi)</t>
  </si>
  <si>
    <t>Steel yield, fy (psi)</t>
  </si>
  <si>
    <t>Lightweight factor, λ</t>
  </si>
  <si>
    <t>Design Calculations (per ACI 318-19 Ch.21–22)</t>
  </si>
  <si>
    <t>β1 (Table 22.2.2.4.3)</t>
  </si>
  <si>
    <t>Mu must be provided</t>
  </si>
  <si>
    <t>Yield strain, εty = fy/Es (21.2.2.1)</t>
  </si>
  <si>
    <t>As provided (in²/ft) (from bar selection)</t>
  </si>
  <si>
    <t>a = As*fy / (0.85 f'c b) (in) (22.2.2.4.1)</t>
  </si>
  <si>
    <t>Check per member type</t>
  </si>
  <si>
    <t>c = a/β1 (in) (22.2.2.4.1)</t>
  </si>
  <si>
    <t>Net tensile strain, εt = 0.003*(d-c)/c (22.2.2.1)</t>
  </si>
  <si>
    <t>Mn = As*fy*(d-a/2) (lb-in/ft)</t>
  </si>
  <si>
    <t>ϕMn (kip-in/ft)</t>
  </si>
  <si>
    <t>Options: No.4, No.5, No.6</t>
  </si>
  <si>
    <t>Utilization = Mu / (ϕMn)</t>
  </si>
  <si>
    <t>Required spacing s (in) for As provided</t>
  </si>
  <si>
    <t>Spacing = Ab*12/As</t>
  </si>
  <si>
    <t>Reference: As required assuming ϕ = 0.90 (tension-controlled)</t>
  </si>
  <si>
    <t>Mn_req = Mu/ϕ (lb-in/ft)</t>
  </si>
  <si>
    <t>As_req (in²/ft) (steel yields)</t>
  </si>
  <si>
    <t>Bar Selection Helper</t>
  </si>
  <si>
    <t>Select bar size</t>
  </si>
  <si>
    <t>Bar area Ab (in²)</t>
  </si>
  <si>
    <t>Provide spacing s (in)</t>
  </si>
  <si>
    <t>As provided = Ab*(12/s) (in²/ft)</t>
  </si>
  <si>
    <t>Spacing for As_req (in) = Ab*12/As_req</t>
  </si>
  <si>
    <t>One-Way &amp; Two-Way (Punching) Shear Checks (Generic)</t>
  </si>
  <si>
    <t>Factored shear demand Vu (kips)</t>
  </si>
  <si>
    <t>Enter from analysis</t>
  </si>
  <si>
    <t>Effective depth d (in)</t>
  </si>
  <si>
    <t>Concrete strength f'c (psi)</t>
  </si>
  <si>
    <t>Phi for shear, ϕ</t>
  </si>
  <si>
    <t>One-way shear width b (in)</t>
  </si>
  <si>
    <t>Per 1-ft strip</t>
  </si>
  <si>
    <t>Punching perimeter bo (in)</t>
  </si>
  <si>
    <t>Enter perimeter at d/2 from load area</t>
  </si>
  <si>
    <t>One-Way Shear (ACI 318-19)</t>
  </si>
  <si>
    <t>Vc = 2*sqrt(f'c)*b*d (lb)</t>
  </si>
  <si>
    <t>ϕVc (kips)</t>
  </si>
  <si>
    <t>Utilization Vu/(ϕVc)</t>
  </si>
  <si>
    <t>Punching Shear (ACI 318-19)</t>
  </si>
  <si>
    <t>Vcp = 4*sqrt(f'c)*bo*d (lb) (interior column baseline)</t>
  </si>
  <si>
    <t>ϕVcp (kips)</t>
  </si>
  <si>
    <t>Utilization Vu/(ϕVcp)</t>
  </si>
  <si>
    <t>Shear &amp; Bearing Checks (ACI 318-19 Ch. 21–22)</t>
  </si>
  <si>
    <t>psi</t>
  </si>
  <si>
    <t>Lightweight factor, λ (Table 19.2.4.1)</t>
  </si>
  <si>
    <t>Shear strength reduction factor, ϕv (Table 21.2.1)</t>
  </si>
  <si>
    <t>Bearing strength reduction factor, ϕb (Table 21.2.1)</t>
  </si>
  <si>
    <t>in</t>
  </si>
  <si>
    <t>Strip width, b_w (in) (use 12 in for per-foot strip)</t>
  </si>
  <si>
    <t>As provided for strip (in²/ft) (from flexure sheet)</t>
  </si>
  <si>
    <t>in²/ft</t>
  </si>
  <si>
    <t>Member overall thickness, h (in)</t>
  </si>
  <si>
    <t>Derived terms</t>
  </si>
  <si>
    <t>Size effect factor, λs = min(1, 2/(1 + d/10))  (Eq. 22.5.5.1.3)</t>
  </si>
  <si>
    <t>Reinforcement ratio, ρw = As/(b_w*d)</t>
  </si>
  <si>
    <t>in²</t>
  </si>
  <si>
    <t>One-Way Shear (22.5) — No shear reinforcement (use Table 22.5.5.1(c))</t>
  </si>
  <si>
    <t>Factored one-way shear demand, Vu (kips/ft)</t>
  </si>
  <si>
    <t>kips/ft</t>
  </si>
  <si>
    <t>Axial load Nu on strip (kips) (compression +, tension −) (Table 22.5.5.1 note)</t>
  </si>
  <si>
    <t>kips</t>
  </si>
  <si>
    <t>Vc (lb/ft) = [8·λs·λ·ρw^(1/3)·√f'c  + Nu/(6Ag)] · b_w · d  (Table 22.5.5.1(c))</t>
  </si>
  <si>
    <t>lb/ft</t>
  </si>
  <si>
    <t>ϕ·Vc (kips/ft)</t>
  </si>
  <si>
    <t>Utilization = Vu / (ϕ·Vc)</t>
  </si>
  <si>
    <t>Two-Way (Punching) Shear (22.6) — No shear reinforcement (Table 22.6.5.2)</t>
  </si>
  <si>
    <t>Factored punching shear demand, Vu,p (kips)</t>
  </si>
  <si>
    <t>Critical perimeter, b0 (in) at d/2 from loaded area (22.6.4.1)</t>
  </si>
  <si>
    <t>β = long/short side ratio of loaded area (Table 22.6.5.2 note)</t>
  </si>
  <si>
    <t>Column / load location (Interior / Edge / Corner) (22.6.5.3)</t>
  </si>
  <si>
    <t>Interior</t>
  </si>
  <si>
    <t>αs (22.6.5.3) = 40 interior, 30 edge, 20 corner</t>
  </si>
  <si>
    <t>vc(a) = 4·λs·λ·√f'c (Table 22.6.5.2(a))</t>
  </si>
  <si>
    <t>vc(b) = (2 + 4/β)·λs·λ·√f'c (Table 22.6.5.2(b))</t>
  </si>
  <si>
    <t>vc(c) = (2 + αs·d/b0)·λs·λ·√f'c (Table 22.6.5.2(c))</t>
  </si>
  <si>
    <t>vc = least of (a),(b),(c) (Table 22.6.5.2)</t>
  </si>
  <si>
    <t>Vc,p (lb) = vc·b0·d</t>
  </si>
  <si>
    <t>lb</t>
  </si>
  <si>
    <t>ϕ·Vc,p (kips)</t>
  </si>
  <si>
    <t>Utilization = Vu,p / (ϕ·Vc,p)</t>
  </si>
  <si>
    <t>Bearing (22.8) — Concrete bearing strength</t>
  </si>
  <si>
    <t>Factored compressive force through bearing, Bu (kips)</t>
  </si>
  <si>
    <t>Loaded area, A1 (in²)</t>
  </si>
  <si>
    <t>Supporting area, A2 (in²) (lower base of 1V:2H frustum) (22.8.3.2)</t>
  </si>
  <si>
    <t>Supporting surface wider on all sides than loaded area? (Yes/No)</t>
  </si>
  <si>
    <t>Yes</t>
  </si>
  <si>
    <t>Bn (lb) per Table 22.8.3.2</t>
  </si>
  <si>
    <t>ϕ·Bn (kips)</t>
  </si>
  <si>
    <t>Utilization = Bu / (ϕ·Bn)</t>
  </si>
  <si>
    <t>Design Summary</t>
  </si>
  <si>
    <t>Geometry (as-designed defaults)</t>
  </si>
  <si>
    <t>Footing width B (ft)</t>
  </si>
  <si>
    <t>Foundation centerline radius R_cl (ft)</t>
  </si>
  <si>
    <t>Plan area A (ft^2)</t>
  </si>
  <si>
    <t>Service bearing q_s (ksf)</t>
  </si>
  <si>
    <t>Bearing utilization</t>
  </si>
  <si>
    <t>Flexure As provided (in²/ft)</t>
  </si>
  <si>
    <t>Flexure utilization Mu/(ϕMn)</t>
  </si>
  <si>
    <t>Provided bar spacing s (in)</t>
  </si>
  <si>
    <t>One-way shear utilization Vu/(ϕVc)</t>
  </si>
  <si>
    <t>Punching shear utilization Vu,p/(ϕVc,p)</t>
  </si>
  <si>
    <t>ACI concrete bearing utilization Bu/(ϕBn)</t>
  </si>
  <si>
    <t>Service bearing pressure, qs = V_s/A (ksf)</t>
  </si>
  <si>
    <t>Bearing utilization, qs/q_allow</t>
  </si>
  <si>
    <t>No.6</t>
  </si>
  <si>
    <t>Gross area for strip, Ag = bw*h</t>
  </si>
  <si>
    <r>
      <t xml:space="preserve">Volumn </t>
    </r>
    <r>
      <rPr>
        <b/>
        <sz val="11"/>
        <color theme="1"/>
        <rFont val="Calibri"/>
        <family val="2"/>
        <scheme val="minor"/>
      </rPr>
      <t>(Gal.)</t>
    </r>
  </si>
  <si>
    <r>
      <t xml:space="preserve">Diameter </t>
    </r>
    <r>
      <rPr>
        <b/>
        <sz val="11"/>
        <color theme="1"/>
        <rFont val="Calibri"/>
        <family val="2"/>
        <scheme val="minor"/>
      </rPr>
      <t>(ft)</t>
    </r>
  </si>
  <si>
    <r>
      <t xml:space="preserve">Centroied </t>
    </r>
    <r>
      <rPr>
        <b/>
        <sz val="11"/>
        <color theme="1"/>
        <rFont val="Calibri"/>
        <family val="2"/>
        <scheme val="minor"/>
      </rPr>
      <t>(ft)</t>
    </r>
  </si>
  <si>
    <r>
      <t xml:space="preserve">tank height </t>
    </r>
    <r>
      <rPr>
        <b/>
        <sz val="11"/>
        <color theme="1"/>
        <rFont val="Calibri"/>
        <family val="2"/>
        <scheme val="minor"/>
      </rPr>
      <t>(ft)</t>
    </r>
  </si>
  <si>
    <r>
      <t xml:space="preserve">Weight of water </t>
    </r>
    <r>
      <rPr>
        <b/>
        <sz val="11"/>
        <color theme="1"/>
        <rFont val="Calibri"/>
        <family val="2"/>
        <scheme val="minor"/>
      </rPr>
      <t>(Kips)</t>
    </r>
  </si>
  <si>
    <r>
      <t xml:space="preserve">Weight of steel </t>
    </r>
    <r>
      <rPr>
        <b/>
        <sz val="11"/>
        <color theme="1"/>
        <rFont val="Calibri"/>
        <family val="2"/>
        <scheme val="minor"/>
      </rPr>
      <t>(Kips)</t>
    </r>
  </si>
  <si>
    <r>
      <t xml:space="preserve">Total weight </t>
    </r>
    <r>
      <rPr>
        <b/>
        <sz val="11"/>
        <color theme="1"/>
        <rFont val="Calibri"/>
        <family val="2"/>
        <scheme val="minor"/>
      </rPr>
      <t>(Kips)</t>
    </r>
  </si>
  <si>
    <r>
      <t xml:space="preserve">projected area </t>
    </r>
    <r>
      <rPr>
        <b/>
        <sz val="11"/>
        <color theme="1"/>
        <rFont val="Calibri"/>
        <family val="2"/>
        <scheme val="minor"/>
      </rPr>
      <t>(ft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)</t>
    </r>
  </si>
  <si>
    <t>50K-DE</t>
  </si>
  <si>
    <t>100K-DE</t>
  </si>
  <si>
    <t>200K-DE</t>
  </si>
  <si>
    <t>250K-TORO</t>
  </si>
  <si>
    <t>300K-TORO</t>
  </si>
  <si>
    <t>400K-TORO</t>
  </si>
  <si>
    <t>500K-TORO</t>
  </si>
  <si>
    <t xml:space="preserve">wind load paramets </t>
  </si>
  <si>
    <r>
      <t>k</t>
    </r>
    <r>
      <rPr>
        <b/>
        <i/>
        <vertAlign val="subscript"/>
        <sz val="11"/>
        <color theme="1"/>
        <rFont val="Calibri"/>
        <family val="2"/>
        <scheme val="minor"/>
      </rPr>
      <t>zt</t>
    </r>
  </si>
  <si>
    <r>
      <t>k</t>
    </r>
    <r>
      <rPr>
        <b/>
        <i/>
        <vertAlign val="subscript"/>
        <sz val="11"/>
        <color theme="1"/>
        <rFont val="Calibri"/>
        <family val="2"/>
        <scheme val="minor"/>
      </rPr>
      <t>d</t>
    </r>
  </si>
  <si>
    <t>I</t>
  </si>
  <si>
    <t>V</t>
  </si>
  <si>
    <t>exposure</t>
  </si>
  <si>
    <t>α</t>
  </si>
  <si>
    <r>
      <t>Z</t>
    </r>
    <r>
      <rPr>
        <b/>
        <i/>
        <vertAlign val="subscript"/>
        <sz val="11"/>
        <color theme="1"/>
        <rFont val="Calibri"/>
        <family val="2"/>
        <scheme val="minor"/>
      </rPr>
      <t>g</t>
    </r>
  </si>
  <si>
    <t>G</t>
  </si>
  <si>
    <r>
      <t>C</t>
    </r>
    <r>
      <rPr>
        <b/>
        <i/>
        <vertAlign val="subscript"/>
        <sz val="11"/>
        <color theme="1"/>
        <rFont val="Calibri"/>
        <family val="2"/>
        <scheme val="minor"/>
      </rPr>
      <t>f</t>
    </r>
  </si>
  <si>
    <t>λ</t>
  </si>
  <si>
    <r>
      <t>λ(0.00256 K</t>
    </r>
    <r>
      <rPr>
        <b/>
        <i/>
        <vertAlign val="subscript"/>
        <sz val="11"/>
        <color theme="1"/>
        <rFont val="Calibri"/>
        <family val="2"/>
        <scheme val="minor"/>
      </rPr>
      <t>zt</t>
    </r>
    <r>
      <rPr>
        <b/>
        <i/>
        <sz val="11"/>
        <color theme="1"/>
        <rFont val="Calibri"/>
        <family val="2"/>
        <scheme val="minor"/>
      </rPr>
      <t xml:space="preserve"> K</t>
    </r>
    <r>
      <rPr>
        <b/>
        <i/>
        <vertAlign val="subscript"/>
        <sz val="11"/>
        <color theme="1"/>
        <rFont val="Calibri"/>
        <family val="2"/>
        <scheme val="minor"/>
      </rPr>
      <t>d</t>
    </r>
    <r>
      <rPr>
        <b/>
        <i/>
        <sz val="11"/>
        <color theme="1"/>
        <rFont val="Calibri"/>
        <family val="2"/>
        <scheme val="minor"/>
      </rPr>
      <t xml:space="preserve"> I V</t>
    </r>
    <r>
      <rPr>
        <b/>
        <i/>
        <vertAlign val="superscript"/>
        <sz val="11"/>
        <color theme="1"/>
        <rFont val="Calibri"/>
        <family val="2"/>
        <scheme val="minor"/>
      </rPr>
      <t>2</t>
    </r>
    <r>
      <rPr>
        <b/>
        <i/>
        <sz val="11"/>
        <color theme="1"/>
        <rFont val="Calibri"/>
        <family val="2"/>
        <scheme val="minor"/>
      </rPr>
      <t>)</t>
    </r>
  </si>
  <si>
    <t xml:space="preserve">column </t>
  </si>
  <si>
    <t xml:space="preserve">Bay Number </t>
  </si>
  <si>
    <t>Thickness</t>
  </si>
  <si>
    <r>
      <t>h</t>
    </r>
    <r>
      <rPr>
        <vertAlign val="subscript"/>
        <sz val="11"/>
        <color rgb="FFC00000"/>
        <rFont val="Calibri"/>
        <family val="2"/>
        <scheme val="minor"/>
      </rPr>
      <t>i</t>
    </r>
  </si>
  <si>
    <t>Height of the cylinder</t>
  </si>
  <si>
    <r>
      <t>h</t>
    </r>
    <r>
      <rPr>
        <vertAlign val="subscript"/>
        <sz val="11"/>
        <color rgb="FFC00000"/>
        <rFont val="Calibri"/>
        <family val="2"/>
        <scheme val="minor"/>
      </rPr>
      <t>f</t>
    </r>
  </si>
  <si>
    <t>Diameter of the cylinder</t>
  </si>
  <si>
    <r>
      <t>A</t>
    </r>
    <r>
      <rPr>
        <vertAlign val="subscript"/>
        <sz val="11"/>
        <color theme="1"/>
        <rFont val="Calibri"/>
        <family val="2"/>
        <scheme val="minor"/>
      </rPr>
      <t>wind</t>
    </r>
  </si>
  <si>
    <t>Centroid</t>
  </si>
  <si>
    <r>
      <t>k</t>
    </r>
    <r>
      <rPr>
        <vertAlign val="subscript"/>
        <sz val="11"/>
        <color theme="1"/>
        <rFont val="Calibri"/>
        <family val="2"/>
        <scheme val="minor"/>
      </rPr>
      <t>zi</t>
    </r>
  </si>
  <si>
    <r>
      <t>k</t>
    </r>
    <r>
      <rPr>
        <vertAlign val="subscript"/>
        <sz val="11"/>
        <color theme="1"/>
        <rFont val="Calibri"/>
        <family val="2"/>
        <scheme val="minor"/>
      </rPr>
      <t>zf</t>
    </r>
  </si>
  <si>
    <r>
      <t>q</t>
    </r>
    <r>
      <rPr>
        <vertAlign val="subscript"/>
        <sz val="11"/>
        <color theme="1"/>
        <rFont val="Calibri"/>
        <family val="2"/>
        <scheme val="minor"/>
      </rPr>
      <t>zi</t>
    </r>
  </si>
  <si>
    <r>
      <t>q</t>
    </r>
    <r>
      <rPr>
        <vertAlign val="subscript"/>
        <sz val="11"/>
        <color theme="1"/>
        <rFont val="Calibri"/>
        <family val="2"/>
        <scheme val="minor"/>
      </rPr>
      <t>zf</t>
    </r>
  </si>
  <si>
    <t>F</t>
  </si>
  <si>
    <t>F location</t>
  </si>
  <si>
    <t>Wind moment At base</t>
  </si>
  <si>
    <t>Center of mass x weight</t>
  </si>
  <si>
    <t>Weight</t>
  </si>
  <si>
    <t xml:space="preserve">riser  </t>
  </si>
  <si>
    <t>Height of the riser</t>
  </si>
  <si>
    <t>Diameter of the riser</t>
  </si>
  <si>
    <r>
      <t>A</t>
    </r>
    <r>
      <rPr>
        <vertAlign val="subscript"/>
        <sz val="11"/>
        <rFont val="Calibri"/>
        <family val="2"/>
        <scheme val="minor"/>
      </rPr>
      <t>wind</t>
    </r>
  </si>
  <si>
    <t>Water tank properties</t>
  </si>
  <si>
    <t>Tank type</t>
  </si>
  <si>
    <r>
      <t>k</t>
    </r>
    <r>
      <rPr>
        <vertAlign val="subscript"/>
        <sz val="11"/>
        <color rgb="FFFF0000"/>
        <rFont val="Calibri"/>
        <family val="2"/>
        <scheme val="minor"/>
      </rPr>
      <t>zi</t>
    </r>
  </si>
  <si>
    <r>
      <t>k</t>
    </r>
    <r>
      <rPr>
        <vertAlign val="subscript"/>
        <sz val="11"/>
        <color rgb="FFFF0000"/>
        <rFont val="Calibri"/>
        <family val="2"/>
        <scheme val="minor"/>
      </rPr>
      <t>zf</t>
    </r>
  </si>
  <si>
    <r>
      <t>q</t>
    </r>
    <r>
      <rPr>
        <vertAlign val="subscript"/>
        <sz val="11"/>
        <color rgb="FFFF0000"/>
        <rFont val="Calibri"/>
        <family val="2"/>
        <scheme val="minor"/>
      </rPr>
      <t>zi</t>
    </r>
  </si>
  <si>
    <r>
      <t>q</t>
    </r>
    <r>
      <rPr>
        <vertAlign val="subscript"/>
        <sz val="11"/>
        <color rgb="FFFF0000"/>
        <rFont val="Calibri"/>
        <family val="2"/>
        <scheme val="minor"/>
      </rPr>
      <t>zf</t>
    </r>
  </si>
  <si>
    <t>Centroied</t>
  </si>
  <si>
    <t>tank height</t>
  </si>
  <si>
    <t>Weight of water</t>
  </si>
  <si>
    <t>Weight of steel</t>
  </si>
  <si>
    <t>Total weight</t>
  </si>
  <si>
    <t>projected area</t>
  </si>
  <si>
    <t>Wind shear</t>
  </si>
  <si>
    <t>weight of water</t>
  </si>
  <si>
    <t>weight of steel</t>
  </si>
  <si>
    <t>Totals  reactions</t>
  </si>
  <si>
    <t>Wind base shear</t>
  </si>
  <si>
    <t>Wind base moment</t>
  </si>
  <si>
    <t>D</t>
  </si>
  <si>
    <t>mph</t>
  </si>
  <si>
    <t>ft</t>
  </si>
  <si>
    <t>psf</t>
  </si>
  <si>
    <r>
      <t>ft</t>
    </r>
    <r>
      <rPr>
        <vertAlign val="superscript"/>
        <sz val="11"/>
        <color theme="1"/>
        <rFont val="Calibri"/>
        <family val="2"/>
        <scheme val="minor"/>
      </rPr>
      <t>2</t>
    </r>
  </si>
  <si>
    <r>
      <t>ft</t>
    </r>
    <r>
      <rPr>
        <vertAlign val="superscript"/>
        <sz val="11"/>
        <rFont val="Calibri"/>
        <family val="2"/>
        <scheme val="minor"/>
      </rPr>
      <t>2</t>
    </r>
  </si>
  <si>
    <t>Gal.</t>
  </si>
  <si>
    <t xml:space="preserve">ft </t>
  </si>
  <si>
    <t>Psf</t>
  </si>
  <si>
    <t>Kips</t>
  </si>
  <si>
    <r>
      <t>ft</t>
    </r>
    <r>
      <rPr>
        <vertAlign val="superscript"/>
        <sz val="11"/>
        <color rgb="FFC00000"/>
        <rFont val="Calibri"/>
        <family val="2"/>
        <scheme val="minor"/>
      </rPr>
      <t>2</t>
    </r>
  </si>
  <si>
    <t>kips-ft</t>
  </si>
  <si>
    <t>Number of Columns</t>
  </si>
  <si>
    <t xml:space="preserve">riser </t>
  </si>
  <si>
    <t>other parts'  weight on columns</t>
  </si>
  <si>
    <t>struts</t>
  </si>
  <si>
    <t>cross bracing</t>
  </si>
  <si>
    <t>SUM</t>
  </si>
  <si>
    <t>KIPS</t>
  </si>
  <si>
    <t>column</t>
  </si>
  <si>
    <t>other parts'  weight on riser</t>
  </si>
  <si>
    <t xml:space="preserve">weight of bowl </t>
  </si>
  <si>
    <t>upper cone</t>
  </si>
  <si>
    <t>seismic base shear</t>
  </si>
  <si>
    <r>
      <t>S</t>
    </r>
    <r>
      <rPr>
        <vertAlign val="subscript"/>
        <sz val="11"/>
        <color theme="1"/>
        <rFont val="Calibri"/>
        <family val="2"/>
        <scheme val="minor"/>
      </rPr>
      <t>s</t>
    </r>
  </si>
  <si>
    <r>
      <t>S</t>
    </r>
    <r>
      <rPr>
        <vertAlign val="subscript"/>
        <sz val="11"/>
        <color theme="1"/>
        <rFont val="Calibri"/>
        <family val="2"/>
        <scheme val="minor"/>
      </rPr>
      <t>1</t>
    </r>
  </si>
  <si>
    <r>
      <t>S</t>
    </r>
    <r>
      <rPr>
        <vertAlign val="subscript"/>
        <sz val="11"/>
        <color theme="1"/>
        <rFont val="Calibri"/>
        <family val="2"/>
        <scheme val="minor"/>
      </rPr>
      <t>DS</t>
    </r>
  </si>
  <si>
    <r>
      <t>S</t>
    </r>
    <r>
      <rPr>
        <vertAlign val="subscript"/>
        <sz val="11"/>
        <color theme="1"/>
        <rFont val="Calibri"/>
        <family val="2"/>
        <scheme val="minor"/>
      </rPr>
      <t>D1</t>
    </r>
  </si>
  <si>
    <t>Ri</t>
  </si>
  <si>
    <r>
      <t>I</t>
    </r>
    <r>
      <rPr>
        <vertAlign val="subscript"/>
        <sz val="14"/>
        <color theme="1"/>
        <rFont val="Calibri"/>
        <family val="2"/>
        <scheme val="minor"/>
      </rPr>
      <t>E</t>
    </r>
  </si>
  <si>
    <r>
      <t>T</t>
    </r>
    <r>
      <rPr>
        <vertAlign val="subscript"/>
        <sz val="11"/>
        <color theme="1"/>
        <rFont val="Calibri"/>
        <family val="2"/>
        <scheme val="minor"/>
      </rPr>
      <t>L</t>
    </r>
  </si>
  <si>
    <t>Ti</t>
  </si>
  <si>
    <t>Ts</t>
  </si>
  <si>
    <r>
      <t>S</t>
    </r>
    <r>
      <rPr>
        <vertAlign val="subscript"/>
        <sz val="11"/>
        <color theme="1"/>
        <rFont val="Calibri"/>
        <family val="2"/>
        <scheme val="minor"/>
      </rPr>
      <t>ai</t>
    </r>
  </si>
  <si>
    <r>
      <t>A</t>
    </r>
    <r>
      <rPr>
        <vertAlign val="subscript"/>
        <sz val="11"/>
        <color rgb="FF000000"/>
        <rFont val="Aptos Narrow"/>
        <family val="2"/>
      </rPr>
      <t>i</t>
    </r>
  </si>
  <si>
    <t>COM</t>
  </si>
  <si>
    <t>Seismic base moment</t>
  </si>
  <si>
    <t>g</t>
  </si>
  <si>
    <t>sec</t>
  </si>
  <si>
    <r>
      <t>ft/s</t>
    </r>
    <r>
      <rPr>
        <vertAlign val="superscript"/>
        <sz val="11"/>
        <color theme="1"/>
        <rFont val="Calibri"/>
        <family val="2"/>
        <scheme val="minor"/>
      </rPr>
      <t>2</t>
    </r>
  </si>
  <si>
    <t>Snow Load</t>
  </si>
  <si>
    <t>Roof Live Load</t>
  </si>
  <si>
    <t>Live Load</t>
  </si>
  <si>
    <t>Load Combination</t>
  </si>
  <si>
    <t>P</t>
  </si>
  <si>
    <t>M</t>
  </si>
  <si>
    <t>Diameter of tank</t>
  </si>
  <si>
    <t>Min Roof Live Load</t>
  </si>
  <si>
    <t>Height to consider</t>
  </si>
  <si>
    <t>Area to consider</t>
  </si>
  <si>
    <r>
      <t>ft</t>
    </r>
    <r>
      <rPr>
        <vertAlign val="superscript"/>
        <sz val="11"/>
        <color theme="1"/>
        <rFont val="Calibri"/>
        <family val="2"/>
        <scheme val="major"/>
      </rPr>
      <t>2</t>
    </r>
  </si>
  <si>
    <t>D + L</t>
  </si>
  <si>
    <t>D + (Lr or S)</t>
  </si>
  <si>
    <t>Ground snow load</t>
  </si>
  <si>
    <t>D + 0.75L + 0.75(Lr or S)</t>
  </si>
  <si>
    <t>Exposure Factor</t>
  </si>
  <si>
    <t>D + 0.6(W or E)</t>
  </si>
  <si>
    <r>
      <t>C</t>
    </r>
    <r>
      <rPr>
        <vertAlign val="subscript"/>
        <sz val="11"/>
        <color theme="1"/>
        <rFont val="Calibri"/>
        <family val="2"/>
        <scheme val="minor"/>
      </rPr>
      <t>e</t>
    </r>
  </si>
  <si>
    <t>D + 0.75L + 0.75(0.6W or 0.6E) + 0.75(Lr or S)</t>
  </si>
  <si>
    <r>
      <t>C</t>
    </r>
    <r>
      <rPr>
        <vertAlign val="subscript"/>
        <sz val="11"/>
        <color theme="1"/>
        <rFont val="Calibri"/>
        <family val="2"/>
        <scheme val="minor"/>
      </rPr>
      <t>t</t>
    </r>
  </si>
  <si>
    <t>0.6D + 0.6(W or E)</t>
  </si>
  <si>
    <t>Importance Factor</t>
  </si>
  <si>
    <t>RC IV</t>
  </si>
  <si>
    <r>
      <t>I</t>
    </r>
    <r>
      <rPr>
        <vertAlign val="subscript"/>
        <sz val="11"/>
        <color theme="1"/>
        <rFont val="Calibri"/>
        <family val="2"/>
        <scheme val="minor"/>
      </rPr>
      <t>s</t>
    </r>
  </si>
  <si>
    <t>Snow load</t>
  </si>
  <si>
    <t>ft-kips</t>
  </si>
  <si>
    <t xml:space="preserve"> </t>
  </si>
  <si>
    <t>Foundation Geometry</t>
  </si>
  <si>
    <t>Table 19.2.4.1(a)—Values of landa for lightweight
concrete based on equilibrium density</t>
  </si>
  <si>
    <t>Table 19.2.4.1(b)—Values of 􀈜 for lightweight
concrete based on composition of aggregates</t>
  </si>
  <si>
    <t>ACI 318-19 (Strength design)</t>
  </si>
  <si>
    <t>Water weight, Ww (kips)</t>
  </si>
  <si>
    <t>Tank dead load, W(tank) (kips)</t>
  </si>
  <si>
    <t>Superimposed (snow/live/wind) (kips)</t>
  </si>
  <si>
    <t>teq = edge thickness; adjust if needed</t>
  </si>
  <si>
    <t>Enter from analysis (soil pressure, uplift, etc.) Here I used for the normal ringwall foundition.</t>
  </si>
  <si>
    <t>if we use Bar #8</t>
  </si>
  <si>
    <t>Assumption</t>
  </si>
  <si>
    <t>x</t>
  </si>
  <si>
    <t xml:space="preserve">Ute, IA – 100,000 gal Pedesphere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</si>
</sst>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0000"/>
  </numFmts>
  <fonts count="33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b/>
      <sz val="12"/>
      <color rgb="FF1F4E79"/>
      <name val="Calibri"/>
    </font>
    <font>
      <b/>
      <sz val="11"/>
      <name val="Calibri"/>
    </font>
    <font>
      <b/>
      <sz val="14"/>
      <color rgb="FFFFFFFF"/>
      <name val="Calibri"/>
    </font>
    <font>
      <b/>
      <sz val="11"/>
      <color rgb="FF1F4E79"/>
      <name val="Calibri"/>
    </font>
    <font>
      <sz val="11"/>
      <color rgb="FF0000FF"/>
      <name val="Calibri"/>
    </font>
    <font>
      <sz val="11"/>
      <name val="Calibri"/>
    </font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theme="1"/>
      <name val="Aptos Narrow"/>
      <family val="2"/>
    </font>
    <font>
      <sz val="11"/>
      <color rgb="FFC00000"/>
      <name val="Calibri"/>
      <family val="2"/>
      <scheme val="minor"/>
    </font>
    <font>
      <b/>
      <sz val="11"/>
      <name val="Calibri"/>
      <family val="2"/>
      <scheme val="minor"/>
    </font>
    <font>
      <b/>
      <i/>
      <vertAlign val="subscript"/>
      <sz val="11"/>
      <color theme="1"/>
      <name val="Calibri"/>
      <family val="2"/>
      <scheme val="minor"/>
    </font>
    <font>
      <b/>
      <i/>
      <vertAlign val="superscript"/>
      <sz val="11"/>
      <color theme="1"/>
      <name val="Calibri"/>
      <family val="2"/>
      <scheme val="minor"/>
    </font>
    <font>
      <vertAlign val="subscript"/>
      <sz val="11"/>
      <color rgb="FFC00000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vertAlign val="subscript"/>
      <sz val="11"/>
      <name val="Calibri"/>
      <family val="2"/>
      <scheme val="minor"/>
    </font>
    <font>
      <vertAlign val="subscript"/>
      <sz val="11"/>
      <color rgb="FFFF0000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vertAlign val="superscript"/>
      <sz val="11"/>
      <name val="Calibri"/>
      <family val="2"/>
      <scheme val="minor"/>
    </font>
    <font>
      <vertAlign val="superscript"/>
      <sz val="11"/>
      <color rgb="FFC00000"/>
      <name val="Calibri"/>
      <family val="2"/>
      <scheme val="minor"/>
    </font>
    <font>
      <vertAlign val="subscript"/>
      <sz val="14"/>
      <color theme="1"/>
      <name val="Calibri"/>
      <family val="2"/>
      <scheme val="minor"/>
    </font>
    <font>
      <vertAlign val="subscript"/>
      <sz val="11"/>
      <color rgb="FF000000"/>
      <name val="Aptos Narrow"/>
      <family val="2"/>
    </font>
    <font>
      <sz val="11"/>
      <color theme="1"/>
      <name val="Calibri"/>
      <family val="2"/>
      <scheme val="major"/>
    </font>
    <font>
      <vertAlign val="superscript"/>
      <sz val="11"/>
      <color theme="1"/>
      <name val="Calibri"/>
      <family val="2"/>
      <scheme val="major"/>
    </font>
    <font>
      <b/>
      <sz val="16"/>
      <color rgb="FFFFFFFF"/>
      <name val="Calibri"/>
      <family val="2"/>
    </font>
    <font>
      <b/>
      <sz val="11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FFFFFF"/>
      </patternFill>
    </fill>
    <fill>
      <patternFill patternType="solid">
        <fgColor theme="7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88">
    <border>
      <left/>
      <right/>
      <top/>
      <bottom/>
      <diagonal/>
    </border>
    <border>
      <left style="thin">
        <color rgb="FF9E9E9E"/>
      </left>
      <right style="thin">
        <color rgb="FF9E9E9E"/>
      </right>
      <top style="thin">
        <color rgb="FF9E9E9E"/>
      </top>
      <bottom style="thin">
        <color rgb="FF9E9E9E"/>
      </bottom>
      <diagonal/>
    </border>
    <border>
      <left/>
      <right/>
      <top style="thin">
        <color rgb="FF9E9E9E"/>
      </top>
      <bottom style="thin">
        <color rgb="FF9E9E9E"/>
      </bottom>
      <diagonal/>
    </border>
    <border>
      <left/>
      <right style="thin">
        <color rgb="FF9E9E9E"/>
      </right>
      <top style="thin">
        <color rgb="FF9E9E9E"/>
      </top>
      <bottom style="thin">
        <color rgb="FF9E9E9E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ck">
        <color theme="4" tint="0.499984740745262"/>
      </bottom>
      <diagonal/>
    </border>
    <border>
      <left/>
      <right/>
      <top style="medium">
        <color indexed="64"/>
      </top>
      <bottom style="thick">
        <color theme="4" tint="0.499984740745262"/>
      </bottom>
      <diagonal/>
    </border>
    <border>
      <left/>
      <right style="medium">
        <color indexed="64"/>
      </right>
      <top style="medium">
        <color indexed="64"/>
      </top>
      <bottom style="thick">
        <color theme="4" tint="0.499984740745262"/>
      </bottom>
      <diagonal/>
    </border>
    <border>
      <left style="thin">
        <color indexed="64"/>
      </left>
      <right style="thin">
        <color indexed="64"/>
      </right>
      <top style="thick">
        <color theme="4" tint="0.499984740745262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rgb="FF9E9E9E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9E9E9E"/>
      </right>
      <top style="thin">
        <color rgb="FF9E9E9E"/>
      </top>
      <bottom style="thin">
        <color rgb="FF9E9E9E"/>
      </bottom>
      <diagonal/>
    </border>
    <border>
      <left/>
      <right style="medium">
        <color indexed="64"/>
      </right>
      <top style="thin">
        <color rgb="FF9E9E9E"/>
      </top>
      <bottom style="thin">
        <color rgb="FF9E9E9E"/>
      </bottom>
      <diagonal/>
    </border>
    <border>
      <left style="medium">
        <color indexed="64"/>
      </left>
      <right style="thin">
        <color rgb="FF9E9E9E"/>
      </right>
      <top style="thin">
        <color rgb="FF9E9E9E"/>
      </top>
      <bottom style="medium">
        <color indexed="64"/>
      </bottom>
      <diagonal/>
    </border>
    <border>
      <left/>
      <right/>
      <top style="thin">
        <color rgb="FF9E9E9E"/>
      </top>
      <bottom style="medium">
        <color indexed="64"/>
      </bottom>
      <diagonal/>
    </border>
    <border>
      <left/>
      <right style="thin">
        <color rgb="FF9E9E9E"/>
      </right>
      <top style="thin">
        <color rgb="FF9E9E9E"/>
      </top>
      <bottom style="medium">
        <color indexed="64"/>
      </bottom>
      <diagonal/>
    </border>
    <border>
      <left style="thin">
        <color rgb="FF9E9E9E"/>
      </left>
      <right style="thin">
        <color rgb="FF9E9E9E"/>
      </right>
      <top style="thin">
        <color rgb="FF9E9E9E"/>
      </top>
      <bottom style="medium">
        <color indexed="64"/>
      </bottom>
      <diagonal/>
    </border>
    <border>
      <left/>
      <right style="medium">
        <color indexed="64"/>
      </right>
      <top style="thin">
        <color rgb="FF9E9E9E"/>
      </top>
      <bottom style="medium">
        <color indexed="64"/>
      </bottom>
      <diagonal/>
    </border>
    <border>
      <left style="medium">
        <color indexed="64"/>
      </left>
      <right style="thin">
        <color rgb="FF9E9E9E"/>
      </right>
      <top style="medium">
        <color indexed="64"/>
      </top>
      <bottom style="thin">
        <color rgb="FF9E9E9E"/>
      </bottom>
      <diagonal/>
    </border>
    <border>
      <left/>
      <right/>
      <top style="medium">
        <color indexed="64"/>
      </top>
      <bottom style="thin">
        <color rgb="FF9E9E9E"/>
      </bottom>
      <diagonal/>
    </border>
    <border>
      <left/>
      <right style="thin">
        <color rgb="FF9E9E9E"/>
      </right>
      <top style="medium">
        <color indexed="64"/>
      </top>
      <bottom style="thin">
        <color rgb="FF9E9E9E"/>
      </bottom>
      <diagonal/>
    </border>
    <border>
      <left style="thin">
        <color rgb="FF9E9E9E"/>
      </left>
      <right style="thin">
        <color rgb="FF9E9E9E"/>
      </right>
      <top style="medium">
        <color indexed="64"/>
      </top>
      <bottom style="thin">
        <color rgb="FF9E9E9E"/>
      </bottom>
      <diagonal/>
    </border>
    <border>
      <left/>
      <right style="medium">
        <color indexed="64"/>
      </right>
      <top style="medium">
        <color indexed="64"/>
      </top>
      <bottom style="thin">
        <color rgb="FF9E9E9E"/>
      </bottom>
      <diagonal/>
    </border>
    <border>
      <left style="medium">
        <color indexed="64"/>
      </left>
      <right style="thin">
        <color rgb="FF9E9E9E"/>
      </right>
      <top/>
      <bottom style="thin">
        <color rgb="FF9E9E9E"/>
      </bottom>
      <diagonal/>
    </border>
    <border>
      <left/>
      <right style="thin">
        <color rgb="FF9E9E9E"/>
      </right>
      <top/>
      <bottom style="thin">
        <color rgb="FF9E9E9E"/>
      </bottom>
      <diagonal/>
    </border>
    <border>
      <left style="thin">
        <color rgb="FF9E9E9E"/>
      </left>
      <right style="thin">
        <color rgb="FF9E9E9E"/>
      </right>
      <top/>
      <bottom style="thin">
        <color rgb="FF9E9E9E"/>
      </bottom>
      <diagonal/>
    </border>
    <border>
      <left/>
      <right style="medium">
        <color indexed="64"/>
      </right>
      <top/>
      <bottom style="thin">
        <color rgb="FF9E9E9E"/>
      </bottom>
      <diagonal/>
    </border>
    <border>
      <left style="thin">
        <color rgb="FF9E9E9E"/>
      </left>
      <right style="medium">
        <color indexed="64"/>
      </right>
      <top style="thin">
        <color rgb="FF9E9E9E"/>
      </top>
      <bottom style="thin">
        <color rgb="FF9E9E9E"/>
      </bottom>
      <diagonal/>
    </border>
    <border>
      <left style="thin">
        <color rgb="FF9E9E9E"/>
      </left>
      <right style="medium">
        <color indexed="64"/>
      </right>
      <top style="thin">
        <color rgb="FF9E9E9E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9E9E9E"/>
      </bottom>
      <diagonal/>
    </border>
    <border>
      <left style="medium">
        <color indexed="64"/>
      </left>
      <right style="medium">
        <color indexed="64"/>
      </right>
      <top style="thin">
        <color rgb="FF9E9E9E"/>
      </top>
      <bottom style="thin">
        <color rgb="FF9E9E9E"/>
      </bottom>
      <diagonal/>
    </border>
    <border>
      <left style="medium">
        <color indexed="64"/>
      </left>
      <right style="medium">
        <color indexed="64"/>
      </right>
      <top style="thin">
        <color rgb="FF9E9E9E"/>
      </top>
      <bottom style="medium">
        <color indexed="64"/>
      </bottom>
      <diagonal/>
    </border>
    <border>
      <left style="thin">
        <color rgb="FF9E9E9E"/>
      </left>
      <right style="medium">
        <color indexed="64"/>
      </right>
      <top style="medium">
        <color indexed="64"/>
      </top>
      <bottom style="thin">
        <color rgb="FF9E9E9E"/>
      </bottom>
      <diagonal/>
    </border>
    <border>
      <left/>
      <right/>
      <top style="thin">
        <color rgb="FF9E9E9E"/>
      </top>
      <bottom/>
      <diagonal/>
    </border>
    <border>
      <left/>
      <right style="medium">
        <color indexed="64"/>
      </right>
      <top style="thin">
        <color rgb="FF9E9E9E"/>
      </top>
      <bottom/>
      <diagonal/>
    </border>
    <border>
      <left style="medium">
        <color indexed="64"/>
      </left>
      <right/>
      <top style="thin">
        <color rgb="FF9E9E9E"/>
      </top>
      <bottom/>
      <diagonal/>
    </border>
    <border>
      <left style="medium">
        <color indexed="64"/>
      </left>
      <right style="thin">
        <color rgb="FF9E9E9E"/>
      </right>
      <top style="thin">
        <color rgb="FF9E9E9E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rgb="FF9E9E9E"/>
      </bottom>
      <diagonal/>
    </border>
    <border>
      <left style="thin">
        <color rgb="FF9E9E9E"/>
      </left>
      <right/>
      <top style="medium">
        <color indexed="64"/>
      </top>
      <bottom style="thin">
        <color rgb="FF9E9E9E"/>
      </bottom>
      <diagonal/>
    </border>
    <border>
      <left style="thin">
        <color rgb="FF9E9E9E"/>
      </left>
      <right/>
      <top style="thin">
        <color rgb="FF9E9E9E"/>
      </top>
      <bottom style="thin">
        <color rgb="FF9E9E9E"/>
      </bottom>
      <diagonal/>
    </border>
    <border>
      <left style="thin">
        <color rgb="FF9E9E9E"/>
      </left>
      <right/>
      <top style="thin">
        <color rgb="FF9E9E9E"/>
      </top>
      <bottom style="medium">
        <color indexed="64"/>
      </bottom>
      <diagonal/>
    </border>
    <border>
      <left style="medium">
        <color indexed="64"/>
      </left>
      <right style="thin">
        <color rgb="FF9E9E9E"/>
      </right>
      <top/>
      <bottom style="medium">
        <color indexed="64"/>
      </bottom>
      <diagonal/>
    </border>
  </borders>
  <cellStyleXfs count="4">
    <xf numFmtId="0" fontId="0" fillId="0" borderId="0"/>
    <xf numFmtId="9" fontId="8" fillId="0" borderId="0" applyFont="0" applyFill="0" applyBorder="0" applyAlignment="0" applyProtection="0"/>
    <xf numFmtId="0" fontId="9" fillId="0" borderId="4" applyNumberFormat="0" applyFill="0" applyAlignment="0" applyProtection="0"/>
    <xf numFmtId="0" fontId="11" fillId="0" borderId="5" applyNumberFormat="0" applyFill="0" applyAlignment="0" applyProtection="0"/>
  </cellStyleXfs>
  <cellXfs count="460">
    <xf numFmtId="0" fontId="0" fillId="0" borderId="0" xfId="0"/>
    <xf numFmtId="0" fontId="3" fillId="0" borderId="1" xfId="0" applyFont="1" applyBorder="1"/>
    <xf numFmtId="0" fontId="0" fillId="0" borderId="1" xfId="0" applyBorder="1" applyAlignment="1">
      <alignment horizontal="left" vertical="center" wrapText="1"/>
    </xf>
    <xf numFmtId="0" fontId="0" fillId="4" borderId="1" xfId="0" applyFill="1" applyBorder="1"/>
    <xf numFmtId="166" fontId="0" fillId="0" borderId="0" xfId="0" applyNumberFormat="1"/>
    <xf numFmtId="164" fontId="0" fillId="0" borderId="0" xfId="0" applyNumberFormat="1"/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7" borderId="9" xfId="0" applyFill="1" applyBorder="1" applyAlignment="1">
      <alignment horizontal="center"/>
    </xf>
    <xf numFmtId="2" fontId="0" fillId="7" borderId="10" xfId="0" applyNumberFormat="1" applyFill="1" applyBorder="1" applyAlignment="1">
      <alignment horizontal="center"/>
    </xf>
    <xf numFmtId="166" fontId="0" fillId="7" borderId="11" xfId="0" applyNumberFormat="1" applyFill="1" applyBorder="1" applyAlignment="1">
      <alignment horizontal="center"/>
    </xf>
    <xf numFmtId="2" fontId="0" fillId="7" borderId="12" xfId="0" applyNumberFormat="1" applyFill="1" applyBorder="1" applyAlignment="1">
      <alignment horizontal="center"/>
    </xf>
    <xf numFmtId="166" fontId="0" fillId="7" borderId="12" xfId="0" applyNumberFormat="1" applyFill="1" applyBorder="1" applyAlignment="1">
      <alignment horizontal="center"/>
    </xf>
    <xf numFmtId="2" fontId="0" fillId="7" borderId="11" xfId="0" applyNumberFormat="1" applyFill="1" applyBorder="1" applyAlignment="1">
      <alignment horizontal="center"/>
    </xf>
    <xf numFmtId="0" fontId="0" fillId="0" borderId="9" xfId="0" applyBorder="1" applyAlignment="1">
      <alignment horizontal="center"/>
    </xf>
    <xf numFmtId="2" fontId="0" fillId="0" borderId="10" xfId="0" applyNumberFormat="1" applyBorder="1" applyAlignment="1">
      <alignment horizontal="center"/>
    </xf>
    <xf numFmtId="166" fontId="0" fillId="0" borderId="11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166" fontId="0" fillId="0" borderId="12" xfId="0" applyNumberFormat="1" applyBorder="1" applyAlignment="1">
      <alignment horizontal="center"/>
    </xf>
    <xf numFmtId="2" fontId="0" fillId="0" borderId="11" xfId="0" applyNumberFormat="1" applyBorder="1" applyAlignment="1">
      <alignment horizontal="center"/>
    </xf>
    <xf numFmtId="0" fontId="13" fillId="7" borderId="13" xfId="0" applyFont="1" applyFill="1" applyBorder="1" applyAlignment="1">
      <alignment horizontal="center"/>
    </xf>
    <xf numFmtId="2" fontId="13" fillId="7" borderId="14" xfId="0" applyNumberFormat="1" applyFont="1" applyFill="1" applyBorder="1" applyAlignment="1">
      <alignment horizontal="center"/>
    </xf>
    <xf numFmtId="166" fontId="13" fillId="7" borderId="15" xfId="0" applyNumberFormat="1" applyFont="1" applyFill="1" applyBorder="1" applyAlignment="1">
      <alignment horizontal="center"/>
    </xf>
    <xf numFmtId="2" fontId="13" fillId="7" borderId="13" xfId="0" applyNumberFormat="1" applyFont="1" applyFill="1" applyBorder="1" applyAlignment="1">
      <alignment horizontal="center"/>
    </xf>
    <xf numFmtId="166" fontId="13" fillId="7" borderId="14" xfId="0" applyNumberFormat="1" applyFont="1" applyFill="1" applyBorder="1" applyAlignment="1">
      <alignment horizontal="center"/>
    </xf>
    <xf numFmtId="2" fontId="13" fillId="7" borderId="16" xfId="0" applyNumberFormat="1" applyFont="1" applyFill="1" applyBorder="1" applyAlignment="1">
      <alignment horizontal="center"/>
    </xf>
    <xf numFmtId="2" fontId="13" fillId="7" borderId="15" xfId="0" applyNumberFormat="1" applyFont="1" applyFill="1" applyBorder="1" applyAlignment="1">
      <alignment horizontal="center"/>
    </xf>
    <xf numFmtId="0" fontId="11" fillId="8" borderId="18" xfId="0" applyFont="1" applyFill="1" applyBorder="1" applyAlignment="1">
      <alignment horizontal="center"/>
    </xf>
    <xf numFmtId="0" fontId="11" fillId="8" borderId="19" xfId="0" applyFont="1" applyFill="1" applyBorder="1" applyAlignment="1">
      <alignment horizontal="center"/>
    </xf>
    <xf numFmtId="0" fontId="0" fillId="8" borderId="20" xfId="0" applyFill="1" applyBorder="1" applyAlignment="1">
      <alignment vertical="top"/>
    </xf>
    <xf numFmtId="166" fontId="0" fillId="8" borderId="0" xfId="0" applyNumberFormat="1" applyFill="1" applyAlignment="1">
      <alignment vertical="top"/>
    </xf>
    <xf numFmtId="0" fontId="0" fillId="8" borderId="0" xfId="0" applyFill="1" applyAlignment="1">
      <alignment vertical="top"/>
    </xf>
    <xf numFmtId="0" fontId="0" fillId="8" borderId="0" xfId="0" applyFill="1" applyAlignment="1">
      <alignment horizontal="center"/>
    </xf>
    <xf numFmtId="166" fontId="0" fillId="8" borderId="0" xfId="0" applyNumberFormat="1" applyFill="1" applyAlignment="1">
      <alignment horizontal="center"/>
    </xf>
    <xf numFmtId="165" fontId="14" fillId="8" borderId="23" xfId="0" applyNumberFormat="1" applyFont="1" applyFill="1" applyBorder="1" applyAlignment="1">
      <alignment horizontal="center"/>
    </xf>
    <xf numFmtId="0" fontId="14" fillId="8" borderId="24" xfId="0" applyFont="1" applyFill="1" applyBorder="1" applyAlignment="1">
      <alignment horizontal="center"/>
    </xf>
    <xf numFmtId="0" fontId="0" fillId="8" borderId="26" xfId="0" applyFill="1" applyBorder="1" applyAlignment="1">
      <alignment horizontal="center"/>
    </xf>
    <xf numFmtId="165" fontId="14" fillId="8" borderId="27" xfId="0" applyNumberFormat="1" applyFont="1" applyFill="1" applyBorder="1" applyAlignment="1">
      <alignment horizontal="center"/>
    </xf>
    <xf numFmtId="0" fontId="14" fillId="8" borderId="28" xfId="0" applyFont="1" applyFill="1" applyBorder="1" applyAlignment="1">
      <alignment horizontal="center"/>
    </xf>
    <xf numFmtId="0" fontId="11" fillId="8" borderId="0" xfId="0" applyFont="1" applyFill="1" applyAlignment="1">
      <alignment horizontal="center"/>
    </xf>
    <xf numFmtId="1" fontId="14" fillId="8" borderId="0" xfId="0" applyNumberFormat="1" applyFont="1" applyFill="1" applyAlignment="1">
      <alignment horizontal="center"/>
    </xf>
    <xf numFmtId="166" fontId="14" fillId="8" borderId="27" xfId="0" applyNumberFormat="1" applyFont="1" applyFill="1" applyBorder="1" applyAlignment="1">
      <alignment horizontal="center"/>
    </xf>
    <xf numFmtId="2" fontId="14" fillId="8" borderId="29" xfId="0" applyNumberFormat="1" applyFont="1" applyFill="1" applyBorder="1" applyAlignment="1">
      <alignment horizontal="center"/>
    </xf>
    <xf numFmtId="164" fontId="0" fillId="8" borderId="0" xfId="1" applyNumberFormat="1" applyFont="1" applyFill="1" applyBorder="1" applyAlignment="1">
      <alignment horizontal="center"/>
    </xf>
    <xf numFmtId="0" fontId="9" fillId="9" borderId="20" xfId="2" applyFill="1" applyBorder="1" applyAlignment="1">
      <alignment horizontal="center"/>
    </xf>
    <xf numFmtId="1" fontId="9" fillId="9" borderId="33" xfId="2" applyNumberFormat="1" applyFill="1" applyBorder="1" applyAlignment="1">
      <alignment horizontal="center"/>
    </xf>
    <xf numFmtId="0" fontId="9" fillId="9" borderId="28" xfId="2" applyFill="1" applyBorder="1" applyAlignment="1">
      <alignment horizontal="center"/>
    </xf>
    <xf numFmtId="0" fontId="9" fillId="8" borderId="0" xfId="2" applyFill="1" applyBorder="1" applyAlignment="1">
      <alignment horizontal="center"/>
    </xf>
    <xf numFmtId="1" fontId="9" fillId="8" borderId="33" xfId="2" applyNumberFormat="1" applyFill="1" applyBorder="1" applyAlignment="1">
      <alignment horizontal="center"/>
    </xf>
    <xf numFmtId="0" fontId="9" fillId="8" borderId="20" xfId="2" applyFill="1" applyBorder="1" applyAlignment="1">
      <alignment horizontal="center"/>
    </xf>
    <xf numFmtId="0" fontId="9" fillId="8" borderId="28" xfId="2" applyFill="1" applyBorder="1" applyAlignment="1">
      <alignment horizontal="center"/>
    </xf>
    <xf numFmtId="0" fontId="16" fillId="8" borderId="25" xfId="0" applyFont="1" applyFill="1" applyBorder="1" applyAlignment="1">
      <alignment horizontal="center"/>
    </xf>
    <xf numFmtId="0" fontId="16" fillId="8" borderId="26" xfId="0" applyFont="1" applyFill="1" applyBorder="1" applyAlignment="1">
      <alignment horizontal="center"/>
    </xf>
    <xf numFmtId="0" fontId="16" fillId="9" borderId="20" xfId="0" applyFont="1" applyFill="1" applyBorder="1" applyAlignment="1">
      <alignment horizontal="center"/>
    </xf>
    <xf numFmtId="166" fontId="16" fillId="9" borderId="34" xfId="0" applyNumberFormat="1" applyFont="1" applyFill="1" applyBorder="1" applyAlignment="1">
      <alignment horizontal="center"/>
    </xf>
    <xf numFmtId="0" fontId="16" fillId="9" borderId="28" xfId="0" applyFont="1" applyFill="1" applyBorder="1" applyAlignment="1">
      <alignment horizontal="center"/>
    </xf>
    <xf numFmtId="0" fontId="16" fillId="8" borderId="0" xfId="0" applyFont="1" applyFill="1" applyAlignment="1">
      <alignment horizontal="center"/>
    </xf>
    <xf numFmtId="166" fontId="16" fillId="8" borderId="34" xfId="0" applyNumberFormat="1" applyFont="1" applyFill="1" applyBorder="1" applyAlignment="1">
      <alignment horizontal="center"/>
    </xf>
    <xf numFmtId="0" fontId="16" fillId="8" borderId="20" xfId="0" applyFont="1" applyFill="1" applyBorder="1" applyAlignment="1">
      <alignment horizontal="center"/>
    </xf>
    <xf numFmtId="0" fontId="16" fillId="8" borderId="28" xfId="0" applyFont="1" applyFill="1" applyBorder="1" applyAlignment="1">
      <alignment horizontal="center"/>
    </xf>
    <xf numFmtId="2" fontId="16" fillId="9" borderId="34" xfId="0" applyNumberFormat="1" applyFont="1" applyFill="1" applyBorder="1" applyAlignment="1">
      <alignment horizontal="center"/>
    </xf>
    <xf numFmtId="2" fontId="16" fillId="8" borderId="34" xfId="0" applyNumberFormat="1" applyFont="1" applyFill="1" applyBorder="1" applyAlignment="1">
      <alignment horizontal="center"/>
    </xf>
    <xf numFmtId="164" fontId="16" fillId="8" borderId="35" xfId="0" applyNumberFormat="1" applyFont="1" applyFill="1" applyBorder="1" applyAlignment="1">
      <alignment horizontal="center"/>
    </xf>
    <xf numFmtId="0" fontId="0" fillId="9" borderId="36" xfId="0" applyFill="1" applyBorder="1" applyAlignment="1">
      <alignment horizontal="center"/>
    </xf>
    <xf numFmtId="2" fontId="0" fillId="9" borderId="37" xfId="0" applyNumberFormat="1" applyFill="1" applyBorder="1" applyAlignment="1">
      <alignment horizontal="center"/>
    </xf>
    <xf numFmtId="0" fontId="0" fillId="9" borderId="38" xfId="0" applyFill="1" applyBorder="1" applyAlignment="1">
      <alignment horizontal="center"/>
    </xf>
    <xf numFmtId="0" fontId="0" fillId="8" borderId="39" xfId="0" applyFill="1" applyBorder="1" applyAlignment="1">
      <alignment horizontal="center"/>
    </xf>
    <xf numFmtId="2" fontId="0" fillId="8" borderId="40" xfId="0" applyNumberFormat="1" applyFill="1" applyBorder="1" applyAlignment="1">
      <alignment horizontal="center"/>
    </xf>
    <xf numFmtId="0" fontId="0" fillId="8" borderId="41" xfId="0" applyFill="1" applyBorder="1" applyAlignment="1">
      <alignment horizontal="center"/>
    </xf>
    <xf numFmtId="0" fontId="0" fillId="8" borderId="36" xfId="0" applyFill="1" applyBorder="1" applyAlignment="1">
      <alignment horizontal="center"/>
    </xf>
    <xf numFmtId="166" fontId="0" fillId="8" borderId="37" xfId="0" applyNumberFormat="1" applyFill="1" applyBorder="1" applyAlignment="1">
      <alignment horizontal="center"/>
    </xf>
    <xf numFmtId="0" fontId="0" fillId="8" borderId="38" xfId="0" applyFill="1" applyBorder="1" applyAlignment="1">
      <alignment horizontal="center"/>
    </xf>
    <xf numFmtId="0" fontId="0" fillId="9" borderId="20" xfId="0" applyFill="1" applyBorder="1" applyAlignment="1">
      <alignment horizontal="center"/>
    </xf>
    <xf numFmtId="2" fontId="0" fillId="9" borderId="34" xfId="0" applyNumberFormat="1" applyFill="1" applyBorder="1" applyAlignment="1">
      <alignment horizontal="center"/>
    </xf>
    <xf numFmtId="0" fontId="0" fillId="9" borderId="28" xfId="0" applyFill="1" applyBorder="1" applyAlignment="1">
      <alignment horizontal="center"/>
    </xf>
    <xf numFmtId="2" fontId="0" fillId="8" borderId="34" xfId="0" applyNumberFormat="1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166" fontId="0" fillId="8" borderId="34" xfId="0" applyNumberFormat="1" applyFill="1" applyBorder="1" applyAlignment="1">
      <alignment horizontal="center"/>
    </xf>
    <xf numFmtId="0" fontId="0" fillId="8" borderId="28" xfId="0" applyFill="1" applyBorder="1" applyAlignment="1">
      <alignment horizontal="center"/>
    </xf>
    <xf numFmtId="0" fontId="16" fillId="8" borderId="42" xfId="0" applyFont="1" applyFill="1" applyBorder="1" applyAlignment="1">
      <alignment horizontal="center"/>
    </xf>
    <xf numFmtId="2" fontId="16" fillId="8" borderId="43" xfId="0" applyNumberFormat="1" applyFont="1" applyFill="1" applyBorder="1" applyAlignment="1">
      <alignment horizontal="center"/>
    </xf>
    <xf numFmtId="0" fontId="16" fillId="8" borderId="10" xfId="0" applyFont="1" applyFill="1" applyBorder="1" applyAlignment="1">
      <alignment horizontal="center"/>
    </xf>
    <xf numFmtId="0" fontId="0" fillId="8" borderId="44" xfId="0" applyFill="1" applyBorder="1" applyAlignment="1">
      <alignment horizontal="center"/>
    </xf>
    <xf numFmtId="0" fontId="0" fillId="9" borderId="44" xfId="0" applyFill="1" applyBorder="1" applyAlignment="1">
      <alignment horizontal="center"/>
    </xf>
    <xf numFmtId="2" fontId="16" fillId="8" borderId="0" xfId="0" applyNumberFormat="1" applyFont="1" applyFill="1" applyAlignment="1">
      <alignment horizontal="center"/>
    </xf>
    <xf numFmtId="0" fontId="17" fillId="9" borderId="45" xfId="0" applyFont="1" applyFill="1" applyBorder="1" applyAlignment="1">
      <alignment horizontal="center"/>
    </xf>
    <xf numFmtId="2" fontId="17" fillId="9" borderId="46" xfId="0" applyNumberFormat="1" applyFont="1" applyFill="1" applyBorder="1" applyAlignment="1">
      <alignment horizontal="center"/>
    </xf>
    <xf numFmtId="0" fontId="17" fillId="9" borderId="47" xfId="0" applyFont="1" applyFill="1" applyBorder="1" applyAlignment="1">
      <alignment horizontal="center"/>
    </xf>
    <xf numFmtId="0" fontId="17" fillId="8" borderId="35" xfId="0" applyFont="1" applyFill="1" applyBorder="1" applyAlignment="1">
      <alignment horizontal="center"/>
    </xf>
    <xf numFmtId="2" fontId="17" fillId="8" borderId="46" xfId="0" applyNumberFormat="1" applyFont="1" applyFill="1" applyBorder="1" applyAlignment="1">
      <alignment horizontal="center"/>
    </xf>
    <xf numFmtId="0" fontId="17" fillId="8" borderId="45" xfId="0" applyFont="1" applyFill="1" applyBorder="1" applyAlignment="1">
      <alignment horizontal="center"/>
    </xf>
    <xf numFmtId="166" fontId="17" fillId="8" borderId="46" xfId="0" applyNumberFormat="1" applyFont="1" applyFill="1" applyBorder="1" applyAlignment="1">
      <alignment horizontal="center"/>
    </xf>
    <xf numFmtId="0" fontId="17" fillId="8" borderId="47" xfId="0" applyFont="1" applyFill="1" applyBorder="1" applyAlignment="1">
      <alignment horizontal="center"/>
    </xf>
    <xf numFmtId="0" fontId="17" fillId="8" borderId="42" xfId="0" applyFont="1" applyFill="1" applyBorder="1" applyAlignment="1">
      <alignment horizontal="center"/>
    </xf>
    <xf numFmtId="2" fontId="17" fillId="8" borderId="43" xfId="0" applyNumberFormat="1" applyFont="1" applyFill="1" applyBorder="1" applyAlignment="1">
      <alignment horizontal="center"/>
    </xf>
    <xf numFmtId="0" fontId="17" fillId="8" borderId="10" xfId="0" applyFont="1" applyFill="1" applyBorder="1" applyAlignment="1">
      <alignment horizontal="center"/>
    </xf>
    <xf numFmtId="0" fontId="13" fillId="8" borderId="25" xfId="0" applyFont="1" applyFill="1" applyBorder="1" applyAlignment="1">
      <alignment horizontal="center"/>
    </xf>
    <xf numFmtId="0" fontId="13" fillId="8" borderId="0" xfId="0" applyFont="1" applyFill="1" applyAlignment="1">
      <alignment horizontal="center"/>
    </xf>
    <xf numFmtId="0" fontId="13" fillId="8" borderId="26" xfId="0" applyFont="1" applyFill="1" applyBorder="1" applyAlignment="1">
      <alignment horizontal="center"/>
    </xf>
    <xf numFmtId="0" fontId="16" fillId="9" borderId="48" xfId="0" applyFont="1" applyFill="1" applyBorder="1" applyAlignment="1">
      <alignment horizontal="center"/>
    </xf>
    <xf numFmtId="2" fontId="16" fillId="9" borderId="49" xfId="0" applyNumberFormat="1" applyFont="1" applyFill="1" applyBorder="1" applyAlignment="1">
      <alignment horizontal="center"/>
    </xf>
    <xf numFmtId="0" fontId="16" fillId="9" borderId="50" xfId="0" applyFont="1" applyFill="1" applyBorder="1" applyAlignment="1">
      <alignment horizontal="center"/>
    </xf>
    <xf numFmtId="0" fontId="16" fillId="8" borderId="48" xfId="0" applyFont="1" applyFill="1" applyBorder="1" applyAlignment="1">
      <alignment horizontal="center"/>
    </xf>
    <xf numFmtId="2" fontId="16" fillId="8" borderId="49" xfId="0" applyNumberFormat="1" applyFont="1" applyFill="1" applyBorder="1" applyAlignment="1">
      <alignment horizontal="center"/>
    </xf>
    <xf numFmtId="0" fontId="16" fillId="8" borderId="50" xfId="0" applyFont="1" applyFill="1" applyBorder="1" applyAlignment="1">
      <alignment horizontal="center"/>
    </xf>
    <xf numFmtId="166" fontId="16" fillId="8" borderId="49" xfId="0" applyNumberFormat="1" applyFont="1" applyFill="1" applyBorder="1" applyAlignment="1">
      <alignment horizontal="center"/>
    </xf>
    <xf numFmtId="0" fontId="13" fillId="9" borderId="20" xfId="0" applyFont="1" applyFill="1" applyBorder="1" applyAlignment="1">
      <alignment horizontal="center"/>
    </xf>
    <xf numFmtId="2" fontId="13" fillId="9" borderId="34" xfId="0" applyNumberFormat="1" applyFont="1" applyFill="1" applyBorder="1" applyAlignment="1">
      <alignment horizontal="center"/>
    </xf>
    <xf numFmtId="0" fontId="13" fillId="9" borderId="28" xfId="0" applyFont="1" applyFill="1" applyBorder="1" applyAlignment="1">
      <alignment horizontal="center"/>
    </xf>
    <xf numFmtId="2" fontId="13" fillId="8" borderId="34" xfId="0" applyNumberFormat="1" applyFont="1" applyFill="1" applyBorder="1" applyAlignment="1">
      <alignment horizontal="center"/>
    </xf>
    <xf numFmtId="0" fontId="13" fillId="8" borderId="20" xfId="0" applyFont="1" applyFill="1" applyBorder="1" applyAlignment="1">
      <alignment horizontal="center"/>
    </xf>
    <xf numFmtId="166" fontId="13" fillId="8" borderId="34" xfId="0" applyNumberFormat="1" applyFont="1" applyFill="1" applyBorder="1" applyAlignment="1">
      <alignment horizontal="center"/>
    </xf>
    <xf numFmtId="0" fontId="13" fillId="8" borderId="28" xfId="0" applyFont="1" applyFill="1" applyBorder="1" applyAlignment="1">
      <alignment horizontal="center"/>
    </xf>
    <xf numFmtId="166" fontId="16" fillId="8" borderId="43" xfId="0" applyNumberFormat="1" applyFont="1" applyFill="1" applyBorder="1" applyAlignment="1">
      <alignment horizontal="center"/>
    </xf>
    <xf numFmtId="0" fontId="17" fillId="8" borderId="25" xfId="0" applyFont="1" applyFill="1" applyBorder="1" applyAlignment="1">
      <alignment horizontal="center"/>
    </xf>
    <xf numFmtId="0" fontId="17" fillId="8" borderId="0" xfId="0" applyFont="1" applyFill="1" applyAlignment="1">
      <alignment horizontal="center"/>
    </xf>
    <xf numFmtId="0" fontId="17" fillId="8" borderId="26" xfId="0" applyFont="1" applyFill="1" applyBorder="1" applyAlignment="1">
      <alignment horizontal="center"/>
    </xf>
    <xf numFmtId="0" fontId="16" fillId="8" borderId="22" xfId="0" applyFont="1" applyFill="1" applyBorder="1" applyAlignment="1">
      <alignment horizontal="center"/>
    </xf>
    <xf numFmtId="0" fontId="16" fillId="8" borderId="21" xfId="0" applyFont="1" applyFill="1" applyBorder="1" applyAlignment="1">
      <alignment horizontal="center"/>
    </xf>
    <xf numFmtId="0" fontId="16" fillId="8" borderId="24" xfId="0" applyFont="1" applyFill="1" applyBorder="1" applyAlignment="1">
      <alignment horizontal="center"/>
    </xf>
    <xf numFmtId="1" fontId="16" fillId="8" borderId="21" xfId="0" applyNumberFormat="1" applyFont="1" applyFill="1" applyBorder="1" applyAlignment="1">
      <alignment horizontal="center"/>
    </xf>
    <xf numFmtId="2" fontId="16" fillId="8" borderId="21" xfId="0" applyNumberFormat="1" applyFont="1" applyFill="1" applyBorder="1" applyAlignment="1">
      <alignment horizontal="center"/>
    </xf>
    <xf numFmtId="2" fontId="16" fillId="8" borderId="20" xfId="0" applyNumberFormat="1" applyFont="1" applyFill="1" applyBorder="1" applyAlignment="1">
      <alignment horizontal="center"/>
    </xf>
    <xf numFmtId="2" fontId="16" fillId="8" borderId="28" xfId="0" applyNumberFormat="1" applyFont="1" applyFill="1" applyBorder="1" applyAlignment="1">
      <alignment horizontal="center"/>
    </xf>
    <xf numFmtId="2" fontId="13" fillId="8" borderId="0" xfId="0" applyNumberFormat="1" applyFont="1" applyFill="1" applyAlignment="1">
      <alignment horizontal="center"/>
    </xf>
    <xf numFmtId="0" fontId="16" fillId="8" borderId="45" xfId="0" applyFont="1" applyFill="1" applyBorder="1" applyAlignment="1">
      <alignment horizontal="center"/>
    </xf>
    <xf numFmtId="2" fontId="16" fillId="8" borderId="35" xfId="0" applyNumberFormat="1" applyFont="1" applyFill="1" applyBorder="1" applyAlignment="1">
      <alignment horizontal="center"/>
    </xf>
    <xf numFmtId="0" fontId="16" fillId="8" borderId="47" xfId="0" applyFont="1" applyFill="1" applyBorder="1" applyAlignment="1">
      <alignment horizontal="center"/>
    </xf>
    <xf numFmtId="2" fontId="17" fillId="8" borderId="35" xfId="0" applyNumberFormat="1" applyFont="1" applyFill="1" applyBorder="1" applyAlignment="1">
      <alignment horizontal="center"/>
    </xf>
    <xf numFmtId="2" fontId="17" fillId="8" borderId="0" xfId="0" applyNumberFormat="1" applyFont="1" applyFill="1" applyAlignment="1">
      <alignment horizontal="center"/>
    </xf>
    <xf numFmtId="0" fontId="17" fillId="8" borderId="28" xfId="0" applyFont="1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166" fontId="0" fillId="8" borderId="21" xfId="0" applyNumberFormat="1" applyFill="1" applyBorder="1" applyAlignment="1">
      <alignment horizontal="center"/>
    </xf>
    <xf numFmtId="0" fontId="17" fillId="8" borderId="22" xfId="0" applyFont="1" applyFill="1" applyBorder="1" applyAlignment="1">
      <alignment horizontal="center"/>
    </xf>
    <xf numFmtId="2" fontId="17" fillId="8" borderId="21" xfId="0" applyNumberFormat="1" applyFont="1" applyFill="1" applyBorder="1" applyAlignment="1">
      <alignment horizontal="center"/>
    </xf>
    <xf numFmtId="0" fontId="17" fillId="8" borderId="24" xfId="0" applyFont="1" applyFill="1" applyBorder="1" applyAlignment="1">
      <alignment horizontal="center"/>
    </xf>
    <xf numFmtId="0" fontId="17" fillId="8" borderId="19" xfId="0" applyFont="1" applyFill="1" applyBorder="1" applyAlignment="1">
      <alignment horizontal="center"/>
    </xf>
    <xf numFmtId="166" fontId="17" fillId="8" borderId="0" xfId="0" applyNumberFormat="1" applyFont="1" applyFill="1" applyAlignment="1">
      <alignment horizontal="center"/>
    </xf>
    <xf numFmtId="166" fontId="11" fillId="8" borderId="0" xfId="0" applyNumberFormat="1" applyFont="1" applyFill="1" applyAlignment="1">
      <alignment horizontal="center"/>
    </xf>
    <xf numFmtId="2" fontId="0" fillId="8" borderId="0" xfId="0" applyNumberFormat="1" applyFill="1" applyAlignment="1">
      <alignment horizontal="center"/>
    </xf>
    <xf numFmtId="0" fontId="11" fillId="8" borderId="52" xfId="0" applyFont="1" applyFill="1" applyBorder="1" applyAlignment="1">
      <alignment horizontal="center"/>
    </xf>
    <xf numFmtId="0" fontId="0" fillId="8" borderId="53" xfId="0" applyFill="1" applyBorder="1" applyAlignment="1">
      <alignment horizontal="center"/>
    </xf>
    <xf numFmtId="2" fontId="0" fillId="8" borderId="54" xfId="0" applyNumberFormat="1" applyFill="1" applyBorder="1" applyAlignment="1">
      <alignment horizontal="center"/>
    </xf>
    <xf numFmtId="0" fontId="0" fillId="8" borderId="54" xfId="0" applyFill="1" applyBorder="1" applyAlignment="1">
      <alignment horizontal="center"/>
    </xf>
    <xf numFmtId="0" fontId="0" fillId="8" borderId="27" xfId="0" applyFill="1" applyBorder="1" applyAlignment="1">
      <alignment horizontal="center"/>
    </xf>
    <xf numFmtId="0" fontId="11" fillId="8" borderId="27" xfId="0" applyFont="1" applyFill="1" applyBorder="1" applyAlignment="1">
      <alignment horizontal="center"/>
    </xf>
    <xf numFmtId="0" fontId="0" fillId="8" borderId="27" xfId="0" applyFill="1" applyBorder="1"/>
    <xf numFmtId="0" fontId="11" fillId="8" borderId="18" xfId="0" applyFont="1" applyFill="1" applyBorder="1"/>
    <xf numFmtId="2" fontId="0" fillId="8" borderId="0" xfId="0" quotePrefix="1" applyNumberFormat="1" applyFill="1" applyAlignment="1">
      <alignment horizontal="center"/>
    </xf>
    <xf numFmtId="0" fontId="0" fillId="8" borderId="0" xfId="0" applyFill="1" applyAlignment="1">
      <alignment horizontal="left"/>
    </xf>
    <xf numFmtId="0" fontId="0" fillId="8" borderId="17" xfId="0" applyFill="1" applyBorder="1" applyAlignment="1">
      <alignment horizontal="left"/>
    </xf>
    <xf numFmtId="0" fontId="0" fillId="8" borderId="20" xfId="0" applyFill="1" applyBorder="1"/>
    <xf numFmtId="0" fontId="0" fillId="8" borderId="0" xfId="0" applyFill="1"/>
    <xf numFmtId="0" fontId="29" fillId="8" borderId="20" xfId="0" applyFont="1" applyFill="1" applyBorder="1" applyAlignment="1">
      <alignment horizontal="left"/>
    </xf>
    <xf numFmtId="2" fontId="29" fillId="8" borderId="0" xfId="0" applyNumberFormat="1" applyFont="1" applyFill="1" applyAlignment="1">
      <alignment horizontal="center"/>
    </xf>
    <xf numFmtId="0" fontId="29" fillId="8" borderId="28" xfId="0" applyFont="1" applyFill="1" applyBorder="1" applyAlignment="1">
      <alignment horizontal="center"/>
    </xf>
    <xf numFmtId="0" fontId="29" fillId="8" borderId="0" xfId="0" applyFont="1" applyFill="1" applyAlignment="1">
      <alignment horizontal="center"/>
    </xf>
    <xf numFmtId="0" fontId="29" fillId="8" borderId="21" xfId="0" applyFont="1" applyFill="1" applyBorder="1" applyAlignment="1">
      <alignment horizontal="left"/>
    </xf>
    <xf numFmtId="0" fontId="29" fillId="8" borderId="21" xfId="0" applyFont="1" applyFill="1" applyBorder="1" applyAlignment="1">
      <alignment horizontal="center"/>
    </xf>
    <xf numFmtId="0" fontId="0" fillId="8" borderId="20" xfId="0" applyFill="1" applyBorder="1" applyAlignment="1">
      <alignment horizontal="left"/>
    </xf>
    <xf numFmtId="2" fontId="0" fillId="8" borderId="35" xfId="0" applyNumberFormat="1" applyFill="1" applyBorder="1" applyAlignment="1">
      <alignment horizontal="center"/>
    </xf>
    <xf numFmtId="0" fontId="0" fillId="8" borderId="47" xfId="0" applyFill="1" applyBorder="1" applyAlignment="1">
      <alignment horizontal="center"/>
    </xf>
    <xf numFmtId="0" fontId="0" fillId="8" borderId="21" xfId="0" applyFill="1" applyBorder="1" applyAlignment="1">
      <alignment horizontal="left"/>
    </xf>
    <xf numFmtId="0" fontId="0" fillId="8" borderId="21" xfId="0" applyFill="1" applyBorder="1"/>
    <xf numFmtId="0" fontId="0" fillId="0" borderId="0" xfId="0" applyAlignment="1">
      <alignment horizontal="center"/>
    </xf>
    <xf numFmtId="0" fontId="0" fillId="8" borderId="35" xfId="0" applyFill="1" applyBorder="1" applyAlignment="1">
      <alignment horizontal="center"/>
    </xf>
    <xf numFmtId="0" fontId="0" fillId="8" borderId="0" xfId="0" applyFill="1" applyAlignment="1">
      <alignment horizontal="right"/>
    </xf>
    <xf numFmtId="0" fontId="14" fillId="12" borderId="22" xfId="0" applyFont="1" applyFill="1" applyBorder="1" applyAlignment="1">
      <alignment horizontal="center"/>
    </xf>
    <xf numFmtId="0" fontId="14" fillId="12" borderId="20" xfId="0" applyFont="1" applyFill="1" applyBorder="1" applyAlignment="1">
      <alignment horizontal="center"/>
    </xf>
    <xf numFmtId="0" fontId="11" fillId="12" borderId="20" xfId="0" applyFont="1" applyFill="1" applyBorder="1" applyAlignment="1">
      <alignment horizontal="center"/>
    </xf>
    <xf numFmtId="0" fontId="0" fillId="8" borderId="45" xfId="0" applyFill="1" applyBorder="1"/>
    <xf numFmtId="0" fontId="0" fillId="8" borderId="35" xfId="0" applyFill="1" applyBorder="1"/>
    <xf numFmtId="2" fontId="0" fillId="0" borderId="20" xfId="0" applyNumberFormat="1" applyBorder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28" xfId="0" applyBorder="1" applyAlignment="1">
      <alignment horizontal="center"/>
    </xf>
    <xf numFmtId="2" fontId="0" fillId="0" borderId="45" xfId="0" applyNumberFormat="1" applyBorder="1" applyAlignment="1">
      <alignment horizontal="center"/>
    </xf>
    <xf numFmtId="2" fontId="0" fillId="0" borderId="35" xfId="0" applyNumberFormat="1" applyBorder="1" applyAlignment="1">
      <alignment horizontal="center"/>
    </xf>
    <xf numFmtId="0" fontId="0" fillId="0" borderId="47" xfId="0" applyBorder="1" applyAlignment="1">
      <alignment horizontal="center"/>
    </xf>
    <xf numFmtId="2" fontId="0" fillId="10" borderId="22" xfId="0" applyNumberFormat="1" applyFill="1" applyBorder="1" applyAlignment="1">
      <alignment horizontal="center"/>
    </xf>
    <xf numFmtId="2" fontId="0" fillId="10" borderId="21" xfId="0" applyNumberFormat="1" applyFill="1" applyBorder="1" applyAlignment="1">
      <alignment horizontal="center"/>
    </xf>
    <xf numFmtId="0" fontId="0" fillId="10" borderId="24" xfId="0" applyFill="1" applyBorder="1"/>
    <xf numFmtId="2" fontId="0" fillId="10" borderId="45" xfId="0" applyNumberFormat="1" applyFill="1" applyBorder="1" applyAlignment="1">
      <alignment horizontal="center"/>
    </xf>
    <xf numFmtId="2" fontId="0" fillId="10" borderId="35" xfId="0" applyNumberFormat="1" applyFill="1" applyBorder="1" applyAlignment="1">
      <alignment horizontal="center"/>
    </xf>
    <xf numFmtId="0" fontId="0" fillId="10" borderId="47" xfId="0" applyFill="1" applyBorder="1"/>
    <xf numFmtId="0" fontId="0" fillId="8" borderId="22" xfId="0" applyFill="1" applyBorder="1"/>
    <xf numFmtId="0" fontId="0" fillId="8" borderId="24" xfId="0" applyFill="1" applyBorder="1"/>
    <xf numFmtId="0" fontId="0" fillId="8" borderId="28" xfId="0" applyFill="1" applyBorder="1"/>
    <xf numFmtId="0" fontId="0" fillId="8" borderId="47" xfId="0" applyFill="1" applyBorder="1"/>
    <xf numFmtId="2" fontId="0" fillId="8" borderId="23" xfId="0" applyNumberFormat="1" applyFill="1" applyBorder="1" applyAlignment="1">
      <alignment horizontal="center"/>
    </xf>
    <xf numFmtId="2" fontId="0" fillId="8" borderId="27" xfId="0" applyNumberFormat="1" applyFill="1" applyBorder="1" applyAlignment="1">
      <alignment horizontal="center"/>
    </xf>
    <xf numFmtId="2" fontId="0" fillId="8" borderId="29" xfId="0" applyNumberFormat="1" applyFill="1" applyBorder="1" applyAlignment="1">
      <alignment horizontal="center"/>
    </xf>
    <xf numFmtId="2" fontId="0" fillId="8" borderId="22" xfId="0" applyNumberFormat="1" applyFill="1" applyBorder="1" applyAlignment="1">
      <alignment horizontal="center"/>
    </xf>
    <xf numFmtId="2" fontId="0" fillId="8" borderId="20" xfId="0" applyNumberFormat="1" applyFill="1" applyBorder="1" applyAlignment="1">
      <alignment horizontal="center"/>
    </xf>
    <xf numFmtId="0" fontId="0" fillId="8" borderId="45" xfId="0" applyFill="1" applyBorder="1" applyAlignment="1">
      <alignment horizontal="center"/>
    </xf>
    <xf numFmtId="0" fontId="0" fillId="8" borderId="23" xfId="0" applyFill="1" applyBorder="1" applyAlignment="1">
      <alignment horizontal="center"/>
    </xf>
    <xf numFmtId="0" fontId="0" fillId="0" borderId="58" xfId="0" applyBorder="1"/>
    <xf numFmtId="0" fontId="0" fillId="0" borderId="63" xfId="0" applyBorder="1"/>
    <xf numFmtId="0" fontId="0" fillId="0" borderId="68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8" xfId="0" applyBorder="1"/>
    <xf numFmtId="0" fontId="0" fillId="0" borderId="73" xfId="0" applyBorder="1" applyAlignment="1">
      <alignment horizontal="left" vertical="center" wrapText="1"/>
    </xf>
    <xf numFmtId="0" fontId="0" fillId="0" borderId="74" xfId="0" applyBorder="1" applyAlignment="1">
      <alignment horizontal="left" vertical="center" wrapText="1"/>
    </xf>
    <xf numFmtId="0" fontId="0" fillId="0" borderId="75" xfId="0" applyBorder="1" applyAlignment="1">
      <alignment horizontal="left" vertical="center" wrapText="1"/>
    </xf>
    <xf numFmtId="0" fontId="0" fillId="0" borderId="76" xfId="0" applyBorder="1" applyAlignment="1">
      <alignment horizontal="left" vertical="center" wrapText="1"/>
    </xf>
    <xf numFmtId="0" fontId="0" fillId="0" borderId="77" xfId="0" applyBorder="1" applyAlignment="1">
      <alignment horizontal="left" vertical="center" wrapText="1"/>
    </xf>
    <xf numFmtId="0" fontId="0" fillId="4" borderId="76" xfId="0" applyFill="1" applyBorder="1"/>
    <xf numFmtId="0" fontId="0" fillId="4" borderId="77" xfId="0" applyFill="1" applyBorder="1"/>
    <xf numFmtId="0" fontId="11" fillId="0" borderId="17" xfId="0" applyFont="1" applyBorder="1"/>
    <xf numFmtId="0" fontId="0" fillId="0" borderId="7" xfId="0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0" fillId="0" borderId="15" xfId="0" applyBorder="1" applyAlignment="1">
      <alignment horizontal="left" vertical="center" wrapText="1"/>
    </xf>
    <xf numFmtId="1" fontId="0" fillId="0" borderId="24" xfId="0" applyNumberFormat="1" applyBorder="1" applyAlignment="1">
      <alignment horizontal="center"/>
    </xf>
    <xf numFmtId="164" fontId="0" fillId="0" borderId="47" xfId="0" applyNumberFormat="1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7" xfId="0" applyBorder="1" applyAlignment="1">
      <alignment horizontal="center"/>
    </xf>
    <xf numFmtId="164" fontId="0" fillId="0" borderId="27" xfId="0" applyNumberFormat="1" applyBorder="1" applyAlignment="1">
      <alignment horizontal="center"/>
    </xf>
    <xf numFmtId="165" fontId="0" fillId="0" borderId="29" xfId="0" applyNumberFormat="1" applyBorder="1" applyAlignment="1">
      <alignment horizontal="center"/>
    </xf>
    <xf numFmtId="0" fontId="3" fillId="0" borderId="75" xfId="0" applyFont="1" applyBorder="1" applyAlignment="1">
      <alignment horizontal="left" vertical="center" wrapText="1"/>
    </xf>
    <xf numFmtId="0" fontId="3" fillId="0" borderId="76" xfId="0" applyFont="1" applyBorder="1" applyAlignment="1">
      <alignment horizontal="left" vertical="center" wrapText="1"/>
    </xf>
    <xf numFmtId="0" fontId="3" fillId="0" borderId="77" xfId="0" applyFont="1" applyBorder="1" applyAlignment="1">
      <alignment horizontal="left" vertical="center" wrapText="1"/>
    </xf>
    <xf numFmtId="0" fontId="0" fillId="0" borderId="76" xfId="0" applyBorder="1"/>
    <xf numFmtId="0" fontId="0" fillId="0" borderId="77" xfId="0" applyBorder="1"/>
    <xf numFmtId="0" fontId="7" fillId="0" borderId="76" xfId="0" applyFont="1" applyBorder="1" applyAlignment="1">
      <alignment horizontal="left" vertical="center" wrapText="1"/>
    </xf>
    <xf numFmtId="0" fontId="5" fillId="14" borderId="56" xfId="0" applyFont="1" applyFill="1" applyBorder="1" applyAlignment="1">
      <alignment vertical="center" wrapText="1"/>
    </xf>
    <xf numFmtId="0" fontId="6" fillId="0" borderId="75" xfId="0" applyFont="1" applyBorder="1" applyAlignment="1">
      <alignment horizontal="center" vertical="center"/>
    </xf>
    <xf numFmtId="0" fontId="6" fillId="0" borderId="76" xfId="0" applyFont="1" applyBorder="1" applyAlignment="1">
      <alignment horizontal="center" vertical="center"/>
    </xf>
    <xf numFmtId="0" fontId="6" fillId="0" borderId="77" xfId="0" applyFont="1" applyBorder="1" applyAlignment="1">
      <alignment horizontal="center" vertical="center"/>
    </xf>
    <xf numFmtId="0" fontId="0" fillId="0" borderId="75" xfId="0" applyBorder="1" applyAlignment="1">
      <alignment horizontal="center" vertical="center" wrapText="1"/>
    </xf>
    <xf numFmtId="0" fontId="0" fillId="0" borderId="76" xfId="0" applyBorder="1" applyAlignment="1">
      <alignment horizontal="center" vertical="center" wrapText="1"/>
    </xf>
    <xf numFmtId="0" fontId="0" fillId="0" borderId="77" xfId="0" applyBorder="1" applyAlignment="1">
      <alignment horizontal="center" vertical="center" wrapText="1"/>
    </xf>
    <xf numFmtId="0" fontId="0" fillId="0" borderId="74" xfId="0" applyBorder="1" applyAlignment="1">
      <alignment horizontal="center" vertical="center"/>
    </xf>
    <xf numFmtId="0" fontId="0" fillId="5" borderId="78" xfId="0" applyFill="1" applyBorder="1" applyAlignment="1">
      <alignment horizontal="left" vertical="center" wrapText="1"/>
    </xf>
    <xf numFmtId="0" fontId="0" fillId="5" borderId="73" xfId="0" applyFill="1" applyBorder="1" applyAlignment="1">
      <alignment horizontal="left" vertical="center" wrapText="1"/>
    </xf>
    <xf numFmtId="0" fontId="0" fillId="5" borderId="74" xfId="0" applyFill="1" applyBorder="1" applyAlignment="1">
      <alignment horizontal="left" vertical="center" wrapText="1"/>
    </xf>
    <xf numFmtId="0" fontId="14" fillId="12" borderId="45" xfId="0" applyFont="1" applyFill="1" applyBorder="1" applyAlignment="1">
      <alignment horizontal="center"/>
    </xf>
    <xf numFmtId="0" fontId="14" fillId="8" borderId="47" xfId="0" applyFont="1" applyFill="1" applyBorder="1" applyAlignment="1">
      <alignment horizontal="center"/>
    </xf>
    <xf numFmtId="164" fontId="0" fillId="8" borderId="0" xfId="0" applyNumberFormat="1" applyFill="1" applyAlignment="1">
      <alignment horizontal="center"/>
    </xf>
    <xf numFmtId="0" fontId="15" fillId="8" borderId="20" xfId="0" applyFont="1" applyFill="1" applyBorder="1" applyAlignment="1">
      <alignment horizontal="center"/>
    </xf>
    <xf numFmtId="164" fontId="16" fillId="8" borderId="0" xfId="0" applyNumberFormat="1" applyFont="1" applyFill="1" applyAlignment="1">
      <alignment horizontal="center"/>
    </xf>
    <xf numFmtId="0" fontId="0" fillId="0" borderId="83" xfId="0" applyBorder="1" applyAlignment="1">
      <alignment horizontal="left" vertical="center" wrapText="1"/>
    </xf>
    <xf numFmtId="0" fontId="5" fillId="12" borderId="56" xfId="0" applyFont="1" applyFill="1" applyBorder="1" applyAlignment="1">
      <alignment horizontal="center" vertical="center"/>
    </xf>
    <xf numFmtId="0" fontId="5" fillId="0" borderId="72" xfId="0" applyFont="1" applyBorder="1" applyAlignment="1">
      <alignment horizontal="center" vertical="center" wrapText="1"/>
    </xf>
    <xf numFmtId="0" fontId="5" fillId="0" borderId="58" xfId="0" applyFont="1" applyBorder="1" applyAlignment="1">
      <alignment horizontal="center" vertical="center" wrapText="1"/>
    </xf>
    <xf numFmtId="0" fontId="5" fillId="0" borderId="63" xfId="0" applyFont="1" applyBorder="1" applyAlignment="1">
      <alignment horizontal="center" vertical="center" wrapText="1"/>
    </xf>
    <xf numFmtId="0" fontId="0" fillId="0" borderId="58" xfId="0" applyBorder="1" applyAlignment="1">
      <alignment horizontal="center" wrapText="1"/>
    </xf>
    <xf numFmtId="0" fontId="0" fillId="0" borderId="63" xfId="0" applyBorder="1" applyAlignment="1">
      <alignment horizontal="center" wrapText="1"/>
    </xf>
    <xf numFmtId="0" fontId="0" fillId="0" borderId="68" xfId="0" applyBorder="1" applyAlignment="1">
      <alignment horizontal="center" vertical="center"/>
    </xf>
    <xf numFmtId="0" fontId="0" fillId="0" borderId="58" xfId="0" applyBorder="1" applyAlignment="1">
      <alignment horizontal="center" vertical="center"/>
    </xf>
    <xf numFmtId="0" fontId="0" fillId="0" borderId="63" xfId="0" applyBorder="1" applyAlignment="1">
      <alignment horizontal="center" vertical="center"/>
    </xf>
    <xf numFmtId="165" fontId="0" fillId="0" borderId="75" xfId="0" applyNumberFormat="1" applyBorder="1" applyAlignment="1">
      <alignment horizontal="right" vertical="center"/>
    </xf>
    <xf numFmtId="0" fontId="0" fillId="0" borderId="76" xfId="0" applyBorder="1" applyAlignment="1">
      <alignment horizontal="right" vertical="center"/>
    </xf>
    <xf numFmtId="0" fontId="0" fillId="0" borderId="77" xfId="0" applyBorder="1" applyAlignment="1">
      <alignment horizontal="right" vertical="center"/>
    </xf>
    <xf numFmtId="2" fontId="6" fillId="0" borderId="75" xfId="0" applyNumberFormat="1" applyFont="1" applyBorder="1" applyAlignment="1">
      <alignment horizontal="center" vertical="center"/>
    </xf>
    <xf numFmtId="2" fontId="6" fillId="0" borderId="76" xfId="0" applyNumberFormat="1" applyFont="1" applyBorder="1" applyAlignment="1">
      <alignment horizontal="center" vertical="center"/>
    </xf>
    <xf numFmtId="1" fontId="0" fillId="0" borderId="76" xfId="0" applyNumberFormat="1" applyBorder="1" applyAlignment="1">
      <alignment horizontal="center" vertical="center"/>
    </xf>
    <xf numFmtId="2" fontId="0" fillId="0" borderId="76" xfId="0" applyNumberFormat="1" applyBorder="1" applyAlignment="1">
      <alignment horizontal="center" vertical="center"/>
    </xf>
    <xf numFmtId="2" fontId="0" fillId="0" borderId="77" xfId="0" applyNumberFormat="1" applyBorder="1" applyAlignment="1">
      <alignment horizontal="center" vertical="center"/>
    </xf>
    <xf numFmtId="0" fontId="3" fillId="0" borderId="83" xfId="0" applyFont="1" applyBorder="1" applyAlignment="1">
      <alignment horizontal="left" vertical="center" wrapText="1"/>
    </xf>
    <xf numFmtId="0" fontId="0" fillId="0" borderId="72" xfId="0" applyBorder="1" applyAlignment="1">
      <alignment horizontal="center" vertical="center"/>
    </xf>
    <xf numFmtId="0" fontId="0" fillId="0" borderId="58" xfId="0" applyBorder="1" applyAlignment="1">
      <alignment horizontal="center" vertical="center" wrapText="1"/>
    </xf>
    <xf numFmtId="2" fontId="0" fillId="0" borderId="87" xfId="0" applyNumberFormat="1" applyBorder="1" applyAlignment="1">
      <alignment horizontal="center"/>
    </xf>
    <xf numFmtId="0" fontId="6" fillId="0" borderId="76" xfId="0" applyFont="1" applyBorder="1" applyAlignment="1">
      <alignment horizontal="center" vertical="center" wrapText="1"/>
    </xf>
    <xf numFmtId="0" fontId="0" fillId="0" borderId="76" xfId="0" applyBorder="1" applyAlignment="1">
      <alignment horizontal="center" vertical="center"/>
    </xf>
    <xf numFmtId="165" fontId="0" fillId="0" borderId="76" xfId="0" applyNumberFormat="1" applyBorder="1" applyAlignment="1">
      <alignment horizontal="center" vertical="center"/>
    </xf>
    <xf numFmtId="165" fontId="0" fillId="0" borderId="76" xfId="0" applyNumberFormat="1" applyBorder="1" applyAlignment="1">
      <alignment horizontal="center"/>
    </xf>
    <xf numFmtId="1" fontId="0" fillId="0" borderId="76" xfId="0" applyNumberFormat="1" applyBorder="1" applyAlignment="1">
      <alignment horizontal="center"/>
    </xf>
    <xf numFmtId="2" fontId="0" fillId="0" borderId="77" xfId="0" applyNumberFormat="1" applyBorder="1" applyAlignment="1">
      <alignment horizontal="center"/>
    </xf>
    <xf numFmtId="0" fontId="4" fillId="11" borderId="22" xfId="0" applyFont="1" applyFill="1" applyBorder="1" applyAlignment="1">
      <alignment horizontal="center" vertical="center" wrapText="1"/>
    </xf>
    <xf numFmtId="0" fontId="4" fillId="11" borderId="21" xfId="0" applyFont="1" applyFill="1" applyBorder="1" applyAlignment="1">
      <alignment horizontal="center" vertical="center" wrapText="1"/>
    </xf>
    <xf numFmtId="0" fontId="4" fillId="11" borderId="24" xfId="0" applyFont="1" applyFill="1" applyBorder="1" applyAlignment="1">
      <alignment horizontal="center" vertical="center" wrapText="1"/>
    </xf>
    <xf numFmtId="0" fontId="4" fillId="11" borderId="20" xfId="0" applyFont="1" applyFill="1" applyBorder="1" applyAlignment="1">
      <alignment horizontal="center" vertical="center" wrapText="1"/>
    </xf>
    <xf numFmtId="0" fontId="4" fillId="11" borderId="0" xfId="0" applyFont="1" applyFill="1" applyAlignment="1">
      <alignment horizontal="center" vertical="center" wrapText="1"/>
    </xf>
    <xf numFmtId="0" fontId="4" fillId="11" borderId="28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1" fillId="8" borderId="51" xfId="3" applyFill="1" applyBorder="1" applyAlignment="1">
      <alignment horizontal="center"/>
    </xf>
    <xf numFmtId="0" fontId="9" fillId="9" borderId="30" xfId="2" applyFill="1" applyBorder="1" applyAlignment="1">
      <alignment horizontal="center"/>
    </xf>
    <xf numFmtId="0" fontId="9" fillId="9" borderId="31" xfId="2" applyFill="1" applyBorder="1" applyAlignment="1">
      <alignment horizontal="center"/>
    </xf>
    <xf numFmtId="0" fontId="9" fillId="9" borderId="32" xfId="2" applyFill="1" applyBorder="1" applyAlignment="1">
      <alignment horizontal="center"/>
    </xf>
    <xf numFmtId="0" fontId="9" fillId="8" borderId="30" xfId="2" applyFill="1" applyBorder="1" applyAlignment="1">
      <alignment horizontal="center"/>
    </xf>
    <xf numFmtId="0" fontId="9" fillId="8" borderId="31" xfId="2" applyFill="1" applyBorder="1" applyAlignment="1">
      <alignment horizontal="center"/>
    </xf>
    <xf numFmtId="0" fontId="9" fillId="8" borderId="32" xfId="2" applyFill="1" applyBorder="1" applyAlignment="1">
      <alignment horizontal="center"/>
    </xf>
    <xf numFmtId="0" fontId="16" fillId="8" borderId="17" xfId="0" applyFont="1" applyFill="1" applyBorder="1" applyAlignment="1">
      <alignment horizontal="center"/>
    </xf>
    <xf numFmtId="0" fontId="16" fillId="8" borderId="18" xfId="0" applyFont="1" applyFill="1" applyBorder="1" applyAlignment="1">
      <alignment horizontal="center"/>
    </xf>
    <xf numFmtId="0" fontId="16" fillId="8" borderId="19" xfId="0" applyFont="1" applyFill="1" applyBorder="1" applyAlignment="1">
      <alignment horizontal="center"/>
    </xf>
    <xf numFmtId="0" fontId="16" fillId="8" borderId="22" xfId="0" applyFont="1" applyFill="1" applyBorder="1" applyAlignment="1">
      <alignment horizontal="center"/>
    </xf>
    <xf numFmtId="0" fontId="16" fillId="8" borderId="21" xfId="0" applyFont="1" applyFill="1" applyBorder="1" applyAlignment="1">
      <alignment horizontal="center"/>
    </xf>
    <xf numFmtId="0" fontId="16" fillId="8" borderId="24" xfId="0" applyFont="1" applyFill="1" applyBorder="1" applyAlignment="1">
      <alignment horizontal="center"/>
    </xf>
    <xf numFmtId="0" fontId="11" fillId="11" borderId="17" xfId="0" applyFont="1" applyFill="1" applyBorder="1" applyAlignment="1">
      <alignment horizontal="center"/>
    </xf>
    <xf numFmtId="0" fontId="11" fillId="11" borderId="18" xfId="0" applyFont="1" applyFill="1" applyBorder="1" applyAlignment="1">
      <alignment horizontal="center"/>
    </xf>
    <xf numFmtId="0" fontId="11" fillId="11" borderId="19" xfId="0" applyFont="1" applyFill="1" applyBorder="1" applyAlignment="1">
      <alignment horizontal="center"/>
    </xf>
    <xf numFmtId="0" fontId="11" fillId="8" borderId="22" xfId="0" applyFont="1" applyFill="1" applyBorder="1" applyAlignment="1">
      <alignment horizontal="center" vertical="center"/>
    </xf>
    <xf numFmtId="0" fontId="11" fillId="8" borderId="21" xfId="0" applyFont="1" applyFill="1" applyBorder="1" applyAlignment="1">
      <alignment horizontal="center" vertical="center"/>
    </xf>
    <xf numFmtId="0" fontId="11" fillId="8" borderId="24" xfId="0" applyFont="1" applyFill="1" applyBorder="1" applyAlignment="1">
      <alignment horizontal="center" vertical="center"/>
    </xf>
    <xf numFmtId="2" fontId="0" fillId="10" borderId="45" xfId="0" applyNumberFormat="1" applyFill="1" applyBorder="1" applyAlignment="1">
      <alignment horizontal="center"/>
    </xf>
    <xf numFmtId="2" fontId="0" fillId="10" borderId="35" xfId="0" applyNumberFormat="1" applyFill="1" applyBorder="1" applyAlignment="1">
      <alignment horizontal="center"/>
    </xf>
    <xf numFmtId="0" fontId="11" fillId="8" borderId="17" xfId="0" applyFont="1" applyFill="1" applyBorder="1" applyAlignment="1">
      <alignment horizontal="center"/>
    </xf>
    <xf numFmtId="0" fontId="11" fillId="8" borderId="18" xfId="0" applyFont="1" applyFill="1" applyBorder="1" applyAlignment="1">
      <alignment horizontal="center"/>
    </xf>
    <xf numFmtId="0" fontId="11" fillId="8" borderId="19" xfId="0" applyFont="1" applyFill="1" applyBorder="1" applyAlignment="1">
      <alignment horizontal="center"/>
    </xf>
    <xf numFmtId="0" fontId="11" fillId="8" borderId="45" xfId="0" applyFont="1" applyFill="1" applyBorder="1" applyAlignment="1">
      <alignment horizontal="center"/>
    </xf>
    <xf numFmtId="0" fontId="11" fillId="8" borderId="35" xfId="0" applyFont="1" applyFill="1" applyBorder="1" applyAlignment="1">
      <alignment horizontal="center"/>
    </xf>
    <xf numFmtId="0" fontId="11" fillId="8" borderId="47" xfId="0" applyFont="1" applyFill="1" applyBorder="1" applyAlignment="1">
      <alignment horizontal="center"/>
    </xf>
    <xf numFmtId="0" fontId="10" fillId="8" borderId="17" xfId="0" applyFont="1" applyFill="1" applyBorder="1" applyAlignment="1">
      <alignment horizontal="center"/>
    </xf>
    <xf numFmtId="0" fontId="10" fillId="8" borderId="18" xfId="0" applyFont="1" applyFill="1" applyBorder="1" applyAlignment="1">
      <alignment horizontal="center"/>
    </xf>
    <xf numFmtId="0" fontId="10" fillId="8" borderId="19" xfId="0" applyFont="1" applyFill="1" applyBorder="1" applyAlignment="1">
      <alignment horizontal="center"/>
    </xf>
    <xf numFmtId="0" fontId="10" fillId="8" borderId="22" xfId="0" applyFont="1" applyFill="1" applyBorder="1" applyAlignment="1">
      <alignment horizontal="center"/>
    </xf>
    <xf numFmtId="0" fontId="10" fillId="8" borderId="21" xfId="0" applyFont="1" applyFill="1" applyBorder="1" applyAlignment="1">
      <alignment horizontal="center"/>
    </xf>
    <xf numFmtId="0" fontId="10" fillId="8" borderId="24" xfId="0" applyFont="1" applyFill="1" applyBorder="1" applyAlignment="1">
      <alignment horizontal="center"/>
    </xf>
    <xf numFmtId="2" fontId="0" fillId="10" borderId="22" xfId="0" applyNumberFormat="1" applyFill="1" applyBorder="1" applyAlignment="1">
      <alignment horizontal="center"/>
    </xf>
    <xf numFmtId="2" fontId="0" fillId="10" borderId="21" xfId="0" applyNumberFormat="1" applyFill="1" applyBorder="1" applyAlignment="1">
      <alignment horizontal="center"/>
    </xf>
    <xf numFmtId="0" fontId="3" fillId="3" borderId="57" xfId="0" applyFont="1" applyFill="1" applyBorder="1" applyAlignment="1">
      <alignment horizontal="left" vertical="center" wrapText="1"/>
    </xf>
    <xf numFmtId="0" fontId="0" fillId="0" borderId="2" xfId="0" applyBorder="1"/>
    <xf numFmtId="0" fontId="0" fillId="0" borderId="3" xfId="0" applyBorder="1"/>
    <xf numFmtId="0" fontId="0" fillId="3" borderId="1" xfId="0" applyFill="1" applyBorder="1" applyAlignment="1">
      <alignment horizontal="left" vertical="center" wrapText="1"/>
    </xf>
    <xf numFmtId="0" fontId="0" fillId="0" borderId="58" xfId="0" applyBorder="1"/>
    <xf numFmtId="0" fontId="0" fillId="0" borderId="1" xfId="0" applyBorder="1" applyAlignment="1">
      <alignment horizontal="left" vertical="center" wrapText="1"/>
    </xf>
    <xf numFmtId="3" fontId="0" fillId="3" borderId="1" xfId="0" applyNumberFormat="1" applyFill="1" applyBorder="1" applyAlignment="1">
      <alignment horizontal="left" vertical="center" wrapText="1"/>
    </xf>
    <xf numFmtId="0" fontId="3" fillId="3" borderId="59" xfId="0" applyFont="1" applyFill="1" applyBorder="1" applyAlignment="1">
      <alignment horizontal="left" vertical="center" wrapText="1"/>
    </xf>
    <xf numFmtId="0" fontId="0" fillId="0" borderId="60" xfId="0" applyBorder="1"/>
    <xf numFmtId="0" fontId="0" fillId="0" borderId="61" xfId="0" applyBorder="1"/>
    <xf numFmtId="4" fontId="0" fillId="3" borderId="1" xfId="0" applyNumberFormat="1" applyFill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0" fillId="3" borderId="62" xfId="0" applyFill="1" applyBorder="1" applyAlignment="1">
      <alignment horizontal="left" vertical="center" wrapText="1"/>
    </xf>
    <xf numFmtId="0" fontId="0" fillId="0" borderId="63" xfId="0" applyBorder="1"/>
    <xf numFmtId="0" fontId="2" fillId="0" borderId="22" xfId="0" applyFont="1" applyBorder="1" applyAlignment="1">
      <alignment horizontal="left" vertical="center" wrapText="1"/>
    </xf>
    <xf numFmtId="0" fontId="0" fillId="0" borderId="21" xfId="0" applyBorder="1"/>
    <xf numFmtId="0" fontId="0" fillId="0" borderId="24" xfId="0" applyBorder="1"/>
    <xf numFmtId="164" fontId="0" fillId="3" borderId="62" xfId="0" applyNumberFormat="1" applyFill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1" fontId="0" fillId="3" borderId="1" xfId="0" applyNumberFormat="1" applyFill="1" applyBorder="1" applyAlignment="1">
      <alignment horizontal="left" vertical="center" wrapText="1"/>
    </xf>
    <xf numFmtId="4" fontId="0" fillId="3" borderId="67" xfId="0" applyNumberFormat="1" applyFill="1" applyBorder="1" applyAlignment="1">
      <alignment horizontal="left" vertical="center" wrapText="1"/>
    </xf>
    <xf numFmtId="0" fontId="0" fillId="0" borderId="65" xfId="0" applyBorder="1"/>
    <xf numFmtId="0" fontId="0" fillId="0" borderId="68" xfId="0" applyBorder="1"/>
    <xf numFmtId="0" fontId="3" fillId="3" borderId="64" xfId="0" applyFont="1" applyFill="1" applyBorder="1" applyAlignment="1">
      <alignment horizontal="left" vertical="center" wrapText="1"/>
    </xf>
    <xf numFmtId="0" fontId="0" fillId="0" borderId="66" xfId="0" applyBorder="1"/>
    <xf numFmtId="2" fontId="0" fillId="3" borderId="62" xfId="0" applyNumberFormat="1" applyFill="1" applyBorder="1" applyAlignment="1">
      <alignment horizontal="left" vertical="center" wrapText="1"/>
    </xf>
    <xf numFmtId="2" fontId="0" fillId="3" borderId="1" xfId="0" applyNumberFormat="1" applyFill="1" applyBorder="1" applyAlignment="1">
      <alignment horizontal="left" vertical="center" wrapText="1"/>
    </xf>
    <xf numFmtId="164" fontId="0" fillId="3" borderId="71" xfId="0" applyNumberFormat="1" applyFill="1" applyBorder="1" applyAlignment="1">
      <alignment horizontal="left" vertical="center" wrapText="1"/>
    </xf>
    <xf numFmtId="0" fontId="0" fillId="0" borderId="55" xfId="0" applyBorder="1"/>
    <xf numFmtId="0" fontId="0" fillId="0" borderId="72" xfId="0" applyBorder="1"/>
    <xf numFmtId="164" fontId="0" fillId="4" borderId="62" xfId="0" applyNumberFormat="1" applyFill="1" applyBorder="1" applyAlignment="1">
      <alignment horizontal="left" vertical="center" wrapText="1"/>
    </xf>
    <xf numFmtId="0" fontId="3" fillId="4" borderId="69" xfId="0" applyFont="1" applyFill="1" applyBorder="1" applyAlignment="1">
      <alignment horizontal="left" vertical="center" wrapText="1"/>
    </xf>
    <xf numFmtId="0" fontId="0" fillId="0" borderId="70" xfId="0" applyBorder="1"/>
    <xf numFmtId="164" fontId="0" fillId="3" borderId="1" xfId="0" applyNumberFormat="1" applyFill="1" applyBorder="1" applyAlignment="1">
      <alignment horizontal="left" vertical="center" wrapText="1"/>
    </xf>
    <xf numFmtId="164" fontId="0" fillId="4" borderId="1" xfId="0" applyNumberFormat="1" applyFill="1" applyBorder="1" applyAlignment="1">
      <alignment horizontal="left" vertical="center" wrapText="1"/>
    </xf>
    <xf numFmtId="0" fontId="3" fillId="4" borderId="59" xfId="0" applyFont="1" applyFill="1" applyBorder="1" applyAlignment="1">
      <alignment horizontal="left" vertical="center" wrapText="1"/>
    </xf>
    <xf numFmtId="0" fontId="3" fillId="4" borderId="57" xfId="0" applyFont="1" applyFill="1" applyBorder="1" applyAlignment="1">
      <alignment horizontal="left" vertical="center" wrapText="1"/>
    </xf>
    <xf numFmtId="0" fontId="2" fillId="0" borderId="17" xfId="0" applyFont="1" applyBorder="1"/>
    <xf numFmtId="0" fontId="0" fillId="0" borderId="18" xfId="0" applyBorder="1"/>
    <xf numFmtId="0" fontId="0" fillId="0" borderId="19" xfId="0" applyBorder="1"/>
    <xf numFmtId="0" fontId="3" fillId="3" borderId="69" xfId="0" applyFont="1" applyFill="1" applyBorder="1" applyAlignment="1">
      <alignment horizontal="left" vertical="center" wrapText="1"/>
    </xf>
    <xf numFmtId="1" fontId="0" fillId="3" borderId="62" xfId="0" applyNumberFormat="1" applyFill="1" applyBorder="1" applyAlignment="1">
      <alignment horizontal="left" vertical="center" wrapText="1"/>
    </xf>
    <xf numFmtId="164" fontId="0" fillId="4" borderId="71" xfId="0" applyNumberFormat="1" applyFill="1" applyBorder="1" applyAlignment="1">
      <alignment horizontal="left" vertical="center" wrapText="1"/>
    </xf>
    <xf numFmtId="164" fontId="0" fillId="4" borderId="85" xfId="0" applyNumberFormat="1" applyFill="1" applyBorder="1" applyAlignment="1">
      <alignment horizontal="center" vertical="center" wrapText="1"/>
    </xf>
    <xf numFmtId="164" fontId="0" fillId="4" borderId="3" xfId="0" applyNumberFormat="1" applyFill="1" applyBorder="1" applyAlignment="1">
      <alignment horizontal="center" vertical="center" wrapText="1"/>
    </xf>
    <xf numFmtId="164" fontId="0" fillId="4" borderId="86" xfId="0" applyNumberFormat="1" applyFill="1" applyBorder="1" applyAlignment="1">
      <alignment horizontal="center" vertical="center" wrapText="1"/>
    </xf>
    <xf numFmtId="164" fontId="0" fillId="4" borderId="61" xfId="0" applyNumberFormat="1" applyFill="1" applyBorder="1" applyAlignment="1">
      <alignment horizontal="center" vertical="center" wrapText="1"/>
    </xf>
    <xf numFmtId="0" fontId="1" fillId="2" borderId="35" xfId="0" applyFont="1" applyFill="1" applyBorder="1" applyAlignment="1">
      <alignment horizontal="center" vertical="center" wrapText="1"/>
    </xf>
    <xf numFmtId="164" fontId="0" fillId="4" borderId="1" xfId="0" applyNumberFormat="1" applyFill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2" fillId="0" borderId="22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2" fillId="0" borderId="47" xfId="0" applyFont="1" applyBorder="1" applyAlignment="1">
      <alignment horizontal="center" vertical="center"/>
    </xf>
    <xf numFmtId="164" fontId="0" fillId="4" borderId="62" xfId="0" applyNumberFormat="1" applyFill="1" applyBorder="1" applyAlignment="1">
      <alignment horizontal="center" vertical="center" wrapText="1"/>
    </xf>
    <xf numFmtId="0" fontId="0" fillId="0" borderId="61" xfId="0" applyBorder="1" applyAlignment="1">
      <alignment horizontal="center"/>
    </xf>
    <xf numFmtId="0" fontId="2" fillId="0" borderId="22" xfId="0" applyFont="1" applyBorder="1"/>
    <xf numFmtId="164" fontId="0" fillId="4" borderId="84" xfId="0" applyNumberFormat="1" applyFill="1" applyBorder="1" applyAlignment="1">
      <alignment horizontal="center" vertical="center" wrapText="1"/>
    </xf>
    <xf numFmtId="164" fontId="0" fillId="4" borderId="66" xfId="0" applyNumberFormat="1" applyFill="1" applyBorder="1" applyAlignment="1">
      <alignment horizontal="center" vertical="center" wrapText="1"/>
    </xf>
    <xf numFmtId="0" fontId="3" fillId="4" borderId="59" xfId="0" applyFont="1" applyFill="1" applyBorder="1"/>
    <xf numFmtId="0" fontId="0" fillId="4" borderId="59" xfId="0" applyFill="1" applyBorder="1" applyAlignment="1">
      <alignment horizontal="center" vertical="center" wrapText="1"/>
    </xf>
    <xf numFmtId="0" fontId="0" fillId="0" borderId="63" xfId="0" applyBorder="1" applyAlignment="1">
      <alignment horizontal="center"/>
    </xf>
    <xf numFmtId="0" fontId="3" fillId="4" borderId="9" xfId="0" applyFont="1" applyFill="1" applyBorder="1"/>
    <xf numFmtId="0" fontId="0" fillId="0" borderId="12" xfId="0" applyBorder="1"/>
    <xf numFmtId="164" fontId="0" fillId="4" borderId="12" xfId="0" applyNumberFormat="1" applyFill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4" borderId="57" xfId="0" applyFill="1" applyBorder="1" applyAlignment="1">
      <alignment horizontal="center" vertical="center" wrapText="1"/>
    </xf>
    <xf numFmtId="0" fontId="0" fillId="0" borderId="58" xfId="0" applyBorder="1" applyAlignment="1">
      <alignment horizontal="center"/>
    </xf>
    <xf numFmtId="165" fontId="0" fillId="3" borderId="64" xfId="0" applyNumberFormat="1" applyFill="1" applyBorder="1" applyAlignment="1">
      <alignment horizontal="center" vertical="center" wrapText="1"/>
    </xf>
    <xf numFmtId="0" fontId="0" fillId="0" borderId="68" xfId="0" applyBorder="1" applyAlignment="1">
      <alignment horizontal="center"/>
    </xf>
    <xf numFmtId="0" fontId="3" fillId="4" borderId="57" xfId="0" applyFont="1" applyFill="1" applyBorder="1"/>
    <xf numFmtId="0" fontId="3" fillId="4" borderId="6" xfId="0" applyFont="1" applyFill="1" applyBorder="1" applyAlignment="1">
      <alignment horizontal="left" vertical="center" wrapText="1"/>
    </xf>
    <xf numFmtId="0" fontId="0" fillId="0" borderId="8" xfId="0" applyBorder="1"/>
    <xf numFmtId="2" fontId="2" fillId="10" borderId="17" xfId="0" applyNumberFormat="1" applyFont="1" applyFill="1" applyBorder="1"/>
    <xf numFmtId="0" fontId="0" fillId="10" borderId="18" xfId="0" applyFill="1" applyBorder="1"/>
    <xf numFmtId="0" fontId="0" fillId="10" borderId="19" xfId="0" applyFill="1" applyBorder="1"/>
    <xf numFmtId="2" fontId="0" fillId="4" borderId="8" xfId="0" applyNumberFormat="1" applyFill="1" applyBorder="1" applyAlignment="1">
      <alignment horizontal="center" vertical="center" wrapText="1"/>
    </xf>
    <xf numFmtId="0" fontId="0" fillId="0" borderId="8" xfId="0" applyBorder="1" applyAlignment="1">
      <alignment horizontal="center"/>
    </xf>
    <xf numFmtId="0" fontId="31" fillId="13" borderId="17" xfId="0" applyFont="1" applyFill="1" applyBorder="1" applyAlignment="1">
      <alignment horizontal="center" vertical="center" wrapText="1"/>
    </xf>
    <xf numFmtId="0" fontId="0" fillId="13" borderId="18" xfId="0" applyFill="1" applyBorder="1"/>
    <xf numFmtId="0" fontId="0" fillId="13" borderId="19" xfId="0" applyFill="1" applyBorder="1"/>
    <xf numFmtId="165" fontId="0" fillId="4" borderId="59" xfId="0" applyNumberFormat="1" applyFill="1" applyBorder="1" applyAlignment="1">
      <alignment horizontal="center"/>
    </xf>
    <xf numFmtId="166" fontId="0" fillId="4" borderId="12" xfId="0" applyNumberFormat="1" applyFill="1" applyBorder="1" applyAlignment="1">
      <alignment horizontal="center"/>
    </xf>
    <xf numFmtId="0" fontId="0" fillId="3" borderId="64" xfId="0" applyFill="1" applyBorder="1" applyAlignment="1">
      <alignment horizontal="center" vertical="center" wrapText="1"/>
    </xf>
    <xf numFmtId="164" fontId="0" fillId="4" borderId="16" xfId="0" applyNumberFormat="1" applyFill="1" applyBorder="1" applyAlignment="1">
      <alignment horizontal="center"/>
    </xf>
    <xf numFmtId="0" fontId="0" fillId="0" borderId="16" xfId="0" applyBorder="1" applyAlignment="1">
      <alignment horizontal="center"/>
    </xf>
    <xf numFmtId="0" fontId="3" fillId="4" borderId="13" xfId="0" applyFont="1" applyFill="1" applyBorder="1"/>
    <xf numFmtId="0" fontId="0" fillId="0" borderId="16" xfId="0" applyBorder="1"/>
    <xf numFmtId="2" fontId="0" fillId="4" borderId="57" xfId="0" applyNumberFormat="1" applyFill="1" applyBorder="1" applyAlignment="1">
      <alignment horizontal="center"/>
    </xf>
    <xf numFmtId="0" fontId="0" fillId="0" borderId="20" xfId="0" applyBorder="1" applyAlignment="1">
      <alignment horizontal="left"/>
    </xf>
    <xf numFmtId="0" fontId="0" fillId="0" borderId="0" xfId="0" applyAlignment="1">
      <alignment horizontal="left"/>
    </xf>
    <xf numFmtId="0" fontId="0" fillId="0" borderId="45" xfId="0" applyBorder="1" applyAlignment="1">
      <alignment horizontal="left"/>
    </xf>
    <xf numFmtId="0" fontId="0" fillId="0" borderId="35" xfId="0" applyBorder="1" applyAlignment="1">
      <alignment horizontal="left"/>
    </xf>
    <xf numFmtId="0" fontId="0" fillId="10" borderId="23" xfId="0" applyFill="1" applyBorder="1" applyAlignment="1">
      <alignment horizontal="center" vertical="center"/>
    </xf>
    <xf numFmtId="0" fontId="0" fillId="10" borderId="27" xfId="0" applyFill="1" applyBorder="1" applyAlignment="1">
      <alignment horizontal="center" vertical="center"/>
    </xf>
    <xf numFmtId="0" fontId="0" fillId="0" borderId="22" xfId="0" applyBorder="1" applyAlignment="1">
      <alignment horizontal="left"/>
    </xf>
    <xf numFmtId="0" fontId="0" fillId="0" borderId="21" xfId="0" applyBorder="1" applyAlignment="1">
      <alignment horizontal="left"/>
    </xf>
    <xf numFmtId="0" fontId="0" fillId="0" borderId="20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8" xfId="0" applyBorder="1" applyAlignment="1">
      <alignment horizontal="center"/>
    </xf>
    <xf numFmtId="0" fontId="3" fillId="3" borderId="1" xfId="0" applyFont="1" applyFill="1" applyBorder="1" applyAlignment="1">
      <alignment horizontal="left" vertical="center" wrapText="1"/>
    </xf>
    <xf numFmtId="0" fontId="0" fillId="4" borderId="1" xfId="0" applyFill="1" applyBorder="1" applyAlignment="1">
      <alignment horizontal="left" vertical="center" wrapText="1"/>
    </xf>
    <xf numFmtId="0" fontId="2" fillId="0" borderId="0" xfId="0" applyFont="1"/>
    <xf numFmtId="0" fontId="3" fillId="4" borderId="1" xfId="0" applyFont="1" applyFill="1" applyBorder="1"/>
    <xf numFmtId="2" fontId="0" fillId="4" borderId="1" xfId="0" applyNumberFormat="1" applyFill="1" applyBorder="1"/>
    <xf numFmtId="1" fontId="0" fillId="4" borderId="1" xfId="0" applyNumberFormat="1" applyFill="1" applyBorder="1"/>
    <xf numFmtId="0" fontId="0" fillId="4" borderId="1" xfId="0" applyFill="1" applyBorder="1"/>
    <xf numFmtId="0" fontId="5" fillId="14" borderId="17" xfId="0" applyFont="1" applyFill="1" applyBorder="1" applyAlignment="1">
      <alignment horizontal="left" vertical="center" wrapText="1"/>
    </xf>
    <xf numFmtId="0" fontId="5" fillId="14" borderId="18" xfId="0" applyFont="1" applyFill="1" applyBorder="1" applyAlignment="1">
      <alignment horizontal="left" vertical="center" wrapText="1"/>
    </xf>
    <xf numFmtId="0" fontId="5" fillId="14" borderId="19" xfId="0" applyFont="1" applyFill="1" applyBorder="1" applyAlignment="1">
      <alignment horizontal="left" vertical="center" wrapText="1"/>
    </xf>
    <xf numFmtId="0" fontId="5" fillId="14" borderId="20" xfId="0" applyFont="1" applyFill="1" applyBorder="1" applyAlignment="1">
      <alignment horizontal="left" vertical="center" wrapText="1"/>
    </xf>
    <xf numFmtId="0" fontId="5" fillId="14" borderId="0" xfId="0" applyFont="1" applyFill="1" applyAlignment="1">
      <alignment horizontal="left" vertical="center" wrapText="1"/>
    </xf>
    <xf numFmtId="0" fontId="4" fillId="6" borderId="17" xfId="0" applyFont="1" applyFill="1" applyBorder="1" applyAlignment="1">
      <alignment horizontal="center" vertical="center"/>
    </xf>
    <xf numFmtId="0" fontId="4" fillId="6" borderId="18" xfId="0" applyFont="1" applyFill="1" applyBorder="1" applyAlignment="1">
      <alignment horizontal="center" vertical="center"/>
    </xf>
    <xf numFmtId="0" fontId="4" fillId="6" borderId="19" xfId="0" applyFont="1" applyFill="1" applyBorder="1" applyAlignment="1">
      <alignment horizontal="center" vertical="center"/>
    </xf>
    <xf numFmtId="0" fontId="32" fillId="0" borderId="57" xfId="0" applyFont="1" applyBorder="1" applyAlignment="1">
      <alignment horizontal="left" vertical="center" wrapText="1"/>
    </xf>
    <xf numFmtId="0" fontId="11" fillId="0" borderId="2" xfId="0" applyFont="1" applyBorder="1"/>
    <xf numFmtId="0" fontId="0" fillId="0" borderId="64" xfId="0" applyBorder="1" applyAlignment="1">
      <alignment horizontal="center" vertical="center" wrapText="1"/>
    </xf>
    <xf numFmtId="0" fontId="0" fillId="0" borderId="65" xfId="0" applyBorder="1" applyAlignment="1">
      <alignment horizontal="center"/>
    </xf>
    <xf numFmtId="0" fontId="0" fillId="0" borderId="57" xfId="0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165" fontId="0" fillId="0" borderId="57" xfId="0" applyNumberFormat="1" applyBorder="1" applyAlignment="1">
      <alignment horizontal="center" vertical="center" wrapText="1"/>
    </xf>
    <xf numFmtId="2" fontId="0" fillId="0" borderId="9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1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11" fillId="0" borderId="81" xfId="0" applyFont="1" applyBorder="1" applyAlignment="1">
      <alignment horizontal="left"/>
    </xf>
    <xf numFmtId="0" fontId="11" fillId="0" borderId="79" xfId="0" applyFont="1" applyBorder="1" applyAlignment="1">
      <alignment horizontal="left"/>
    </xf>
    <xf numFmtId="0" fontId="11" fillId="0" borderId="45" xfId="0" applyFont="1" applyBorder="1" applyAlignment="1">
      <alignment horizontal="left"/>
    </xf>
    <xf numFmtId="0" fontId="11" fillId="0" borderId="35" xfId="0" applyFont="1" applyBorder="1" applyAlignment="1">
      <alignment horizontal="left"/>
    </xf>
    <xf numFmtId="0" fontId="5" fillId="14" borderId="23" xfId="0" applyFont="1" applyFill="1" applyBorder="1" applyAlignment="1">
      <alignment horizontal="center" vertical="center" wrapText="1"/>
    </xf>
    <xf numFmtId="0" fontId="5" fillId="14" borderId="29" xfId="0" applyFont="1" applyFill="1" applyBorder="1" applyAlignment="1">
      <alignment horizontal="center" vertical="center" wrapText="1"/>
    </xf>
    <xf numFmtId="0" fontId="0" fillId="0" borderId="21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47" xfId="0" applyBorder="1" applyAlignment="1">
      <alignment horizontal="center"/>
    </xf>
    <xf numFmtId="2" fontId="0" fillId="0" borderId="82" xfId="0" applyNumberFormat="1" applyBorder="1" applyAlignment="1">
      <alignment horizontal="center" vertical="center" wrapText="1"/>
    </xf>
    <xf numFmtId="0" fontId="0" fillId="0" borderId="79" xfId="0" applyBorder="1" applyAlignment="1">
      <alignment horizontal="center"/>
    </xf>
    <xf numFmtId="0" fontId="0" fillId="0" borderId="80" xfId="0" applyBorder="1" applyAlignment="1">
      <alignment horizontal="center"/>
    </xf>
    <xf numFmtId="0" fontId="32" fillId="0" borderId="64" xfId="0" applyFont="1" applyBorder="1" applyAlignment="1">
      <alignment horizontal="left" vertical="center" wrapText="1"/>
    </xf>
    <xf numFmtId="0" fontId="11" fillId="0" borderId="65" xfId="0" applyFont="1" applyBorder="1"/>
    <xf numFmtId="2" fontId="0" fillId="0" borderId="57" xfId="0" applyNumberFormat="1" applyBorder="1" applyAlignment="1">
      <alignment horizontal="center" vertical="center" wrapText="1"/>
    </xf>
  </cellXfs>
  <cellStyles count="4">
    <cellStyle name="Heading 2" xfId="2" builtinId="17"/>
    <cellStyle name="Normal" xfId="0" builtinId="0"/>
    <cellStyle name="Percent" xfId="1" builtinId="5"/>
    <cellStyle name="Total" xfId="3" builtinId="25"/>
  </cellStyles>
  <dxfs count="2"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.png"/><Relationship Id="rId3" Type="http://schemas.openxmlformats.org/officeDocument/2006/relationships/image" Target="../media/image5.png"/><Relationship Id="rId7" Type="http://schemas.openxmlformats.org/officeDocument/2006/relationships/image" Target="../media/image9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6" Type="http://schemas.openxmlformats.org/officeDocument/2006/relationships/image" Target="../media/image8.png"/><Relationship Id="rId5" Type="http://schemas.openxmlformats.org/officeDocument/2006/relationships/image" Target="../media/image7.png"/><Relationship Id="rId4" Type="http://schemas.openxmlformats.org/officeDocument/2006/relationships/image" Target="../media/image6.png"/><Relationship Id="rId9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114300</xdr:colOff>
      <xdr:row>2</xdr:row>
      <xdr:rowOff>142875</xdr:rowOff>
    </xdr:from>
    <xdr:to>
      <xdr:col>10</xdr:col>
      <xdr:colOff>495779</xdr:colOff>
      <xdr:row>4</xdr:row>
      <xdr:rowOff>228726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8F781C5-D223-5403-9F8A-29FD836A5C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43725" y="685800"/>
          <a:ext cx="3429479" cy="905001"/>
        </a:xfrm>
        <a:prstGeom prst="rect">
          <a:avLst/>
        </a:prstGeom>
      </xdr:spPr>
    </xdr:pic>
    <xdr:clientData/>
  </xdr:twoCellAnchor>
  <xdr:twoCellAnchor editAs="oneCell">
    <xdr:from>
      <xdr:col>11</xdr:col>
      <xdr:colOff>85725</xdr:colOff>
      <xdr:row>2</xdr:row>
      <xdr:rowOff>28575</xdr:rowOff>
    </xdr:from>
    <xdr:to>
      <xdr:col>16</xdr:col>
      <xdr:colOff>438625</xdr:colOff>
      <xdr:row>6</xdr:row>
      <xdr:rowOff>209825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8767427-9C3F-4247-C81A-530726C6E2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572750" y="571500"/>
          <a:ext cx="3400900" cy="19719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95250</xdr:colOff>
      <xdr:row>5</xdr:row>
      <xdr:rowOff>28574</xdr:rowOff>
    </xdr:from>
    <xdr:to>
      <xdr:col>12</xdr:col>
      <xdr:colOff>276083</xdr:colOff>
      <xdr:row>17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E347929-F3C5-FBCC-C368-26D5D41F72C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1267" b="3274"/>
        <a:stretch>
          <a:fillRect/>
        </a:stretch>
      </xdr:blipFill>
      <xdr:spPr>
        <a:xfrm>
          <a:off x="6286500" y="1142999"/>
          <a:ext cx="2619233" cy="2686051"/>
        </a:xfrm>
        <a:prstGeom prst="rect">
          <a:avLst/>
        </a:prstGeom>
      </xdr:spPr>
    </xdr:pic>
    <xdr:clientData/>
  </xdr:twoCellAnchor>
  <xdr:twoCellAnchor editAs="oneCell">
    <xdr:from>
      <xdr:col>12</xdr:col>
      <xdr:colOff>295275</xdr:colOff>
      <xdr:row>5</xdr:row>
      <xdr:rowOff>66676</xdr:rowOff>
    </xdr:from>
    <xdr:to>
      <xdr:col>15</xdr:col>
      <xdr:colOff>274493</xdr:colOff>
      <xdr:row>27</xdr:row>
      <xdr:rowOff>95251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48DD0F6-B4BD-72E3-8C78-9CABE35C71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924925" y="1181101"/>
          <a:ext cx="1808018" cy="4648200"/>
        </a:xfrm>
        <a:prstGeom prst="rect">
          <a:avLst/>
        </a:prstGeom>
      </xdr:spPr>
    </xdr:pic>
    <xdr:clientData/>
  </xdr:twoCellAnchor>
  <xdr:twoCellAnchor editAs="oneCell">
    <xdr:from>
      <xdr:col>15</xdr:col>
      <xdr:colOff>285750</xdr:colOff>
      <xdr:row>5</xdr:row>
      <xdr:rowOff>57149</xdr:rowOff>
    </xdr:from>
    <xdr:to>
      <xdr:col>20</xdr:col>
      <xdr:colOff>208312</xdr:colOff>
      <xdr:row>18</xdr:row>
      <xdr:rowOff>152399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C8A90C2-D75C-87FB-2AFA-7B66CD13FC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744200" y="1171574"/>
          <a:ext cx="2970562" cy="2981325"/>
        </a:xfrm>
        <a:prstGeom prst="rect">
          <a:avLst/>
        </a:prstGeom>
      </xdr:spPr>
    </xdr:pic>
    <xdr:clientData/>
  </xdr:twoCellAnchor>
  <xdr:twoCellAnchor editAs="oneCell">
    <xdr:from>
      <xdr:col>15</xdr:col>
      <xdr:colOff>219075</xdr:colOff>
      <xdr:row>20</xdr:row>
      <xdr:rowOff>180975</xdr:rowOff>
    </xdr:from>
    <xdr:to>
      <xdr:col>20</xdr:col>
      <xdr:colOff>150186</xdr:colOff>
      <xdr:row>31</xdr:row>
      <xdr:rowOff>85725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BA0DD0C-749B-64E5-3111-9D381542683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r="42200"/>
        <a:stretch>
          <a:fillRect/>
        </a:stretch>
      </xdr:blipFill>
      <xdr:spPr>
        <a:xfrm>
          <a:off x="10677525" y="4181475"/>
          <a:ext cx="2979111" cy="2019300"/>
        </a:xfrm>
        <a:prstGeom prst="rect">
          <a:avLst/>
        </a:prstGeom>
      </xdr:spPr>
    </xdr:pic>
    <xdr:clientData/>
  </xdr:twoCellAnchor>
  <xdr:twoCellAnchor editAs="oneCell">
    <xdr:from>
      <xdr:col>8</xdr:col>
      <xdr:colOff>66675</xdr:colOff>
      <xdr:row>19</xdr:row>
      <xdr:rowOff>180913</xdr:rowOff>
    </xdr:from>
    <xdr:to>
      <xdr:col>12</xdr:col>
      <xdr:colOff>190501</xdr:colOff>
      <xdr:row>32</xdr:row>
      <xdr:rowOff>91670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AD11955-54A3-640E-8907-C1A74CF4E38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l="9400" t="3213" r="7200"/>
        <a:stretch>
          <a:fillRect/>
        </a:stretch>
      </xdr:blipFill>
      <xdr:spPr>
        <a:xfrm>
          <a:off x="6257925" y="3990913"/>
          <a:ext cx="2562226" cy="240630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34</xdr:row>
      <xdr:rowOff>0</xdr:rowOff>
    </xdr:from>
    <xdr:to>
      <xdr:col>7</xdr:col>
      <xdr:colOff>422632</xdr:colOff>
      <xdr:row>61</xdr:row>
      <xdr:rowOff>143613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A195A66-4B47-4508-468C-84A08C67DC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6640286"/>
          <a:ext cx="5811061" cy="5287113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285750</xdr:colOff>
      <xdr:row>50</xdr:row>
      <xdr:rowOff>66675</xdr:rowOff>
    </xdr:from>
    <xdr:to>
      <xdr:col>17</xdr:col>
      <xdr:colOff>572417</xdr:colOff>
      <xdr:row>77</xdr:row>
      <xdr:rowOff>86446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88FB33B-8B0A-36AF-B67A-922AE1F438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676900" y="9753600"/>
          <a:ext cx="6573167" cy="5163271"/>
        </a:xfrm>
        <a:prstGeom prst="rect">
          <a:avLst/>
        </a:prstGeom>
      </xdr:spPr>
    </xdr:pic>
    <xdr:clientData/>
  </xdr:twoCellAnchor>
  <xdr:twoCellAnchor>
    <xdr:from>
      <xdr:col>0</xdr:col>
      <xdr:colOff>1792941</xdr:colOff>
      <xdr:row>41</xdr:row>
      <xdr:rowOff>123265</xdr:rowOff>
    </xdr:from>
    <xdr:to>
      <xdr:col>7</xdr:col>
      <xdr:colOff>605117</xdr:colOff>
      <xdr:row>57</xdr:row>
      <xdr:rowOff>56030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4C3FA118-A00F-723E-5993-B3F977976C93}"/>
            </a:ext>
          </a:extLst>
        </xdr:cNvPr>
        <xdr:cNvCxnSpPr/>
      </xdr:nvCxnSpPr>
      <xdr:spPr>
        <a:xfrm>
          <a:off x="1792941" y="8090647"/>
          <a:ext cx="4191000" cy="2980765"/>
        </a:xfrm>
        <a:prstGeom prst="straightConnector1">
          <a:avLst/>
        </a:prstGeom>
        <a:ln w="19050" cap="flat" cmpd="sng" algn="ctr">
          <a:solidFill>
            <a:srgbClr val="FF0000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85724</xdr:colOff>
      <xdr:row>63</xdr:row>
      <xdr:rowOff>16248</xdr:rowOff>
    </xdr:from>
    <xdr:to>
      <xdr:col>7</xdr:col>
      <xdr:colOff>200025</xdr:colOff>
      <xdr:row>86</xdr:row>
      <xdr:rowOff>166176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3EF15DDB-267F-454C-BCA3-2951E113694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/>
        <a:srcRect l="10740" r="6851"/>
        <a:stretch>
          <a:fillRect/>
        </a:stretch>
      </xdr:blipFill>
      <xdr:spPr>
        <a:xfrm>
          <a:off x="85724" y="12179673"/>
          <a:ext cx="5505451" cy="4531428"/>
        </a:xfrm>
        <a:prstGeom prst="rect">
          <a:avLst/>
        </a:prstGeom>
      </xdr:spPr>
    </xdr:pic>
    <xdr:clientData/>
  </xdr:twoCellAnchor>
  <xdr:twoCellAnchor>
    <xdr:from>
      <xdr:col>0</xdr:col>
      <xdr:colOff>1335741</xdr:colOff>
      <xdr:row>48</xdr:row>
      <xdr:rowOff>118222</xdr:rowOff>
    </xdr:from>
    <xdr:to>
      <xdr:col>0</xdr:col>
      <xdr:colOff>1676400</xdr:colOff>
      <xdr:row>62</xdr:row>
      <xdr:rowOff>66675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6612BC5C-FD89-4CCB-818C-F6017F7FBDA5}"/>
            </a:ext>
          </a:extLst>
        </xdr:cNvPr>
        <xdr:cNvCxnSpPr/>
      </xdr:nvCxnSpPr>
      <xdr:spPr>
        <a:xfrm>
          <a:off x="1335741" y="9424147"/>
          <a:ext cx="340659" cy="2615453"/>
        </a:xfrm>
        <a:prstGeom prst="straightConnector1">
          <a:avLst/>
        </a:prstGeom>
        <a:ln w="19050" cap="flat" cmpd="sng" algn="ctr">
          <a:solidFill>
            <a:srgbClr val="FF0000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85725</xdr:colOff>
      <xdr:row>88</xdr:row>
      <xdr:rowOff>28575</xdr:rowOff>
    </xdr:from>
    <xdr:to>
      <xdr:col>5</xdr:col>
      <xdr:colOff>1162674</xdr:colOff>
      <xdr:row>102</xdr:row>
      <xdr:rowOff>105158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A64B2D1D-1285-95E7-38B5-3CFC6843A1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5725" y="16954500"/>
          <a:ext cx="4467849" cy="2743583"/>
        </a:xfrm>
        <a:prstGeom prst="rect">
          <a:avLst/>
        </a:prstGeom>
      </xdr:spPr>
    </xdr:pic>
    <xdr:clientData/>
  </xdr:twoCellAnchor>
  <xdr:twoCellAnchor>
    <xdr:from>
      <xdr:col>0</xdr:col>
      <xdr:colOff>895350</xdr:colOff>
      <xdr:row>79</xdr:row>
      <xdr:rowOff>76200</xdr:rowOff>
    </xdr:from>
    <xdr:to>
      <xdr:col>0</xdr:col>
      <xdr:colOff>1562100</xdr:colOff>
      <xdr:row>90</xdr:row>
      <xdr:rowOff>66675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88B54343-5AD3-44CF-A004-854F7FDDD3B4}"/>
            </a:ext>
          </a:extLst>
        </xdr:cNvPr>
        <xdr:cNvCxnSpPr/>
      </xdr:nvCxnSpPr>
      <xdr:spPr>
        <a:xfrm>
          <a:off x="895350" y="15287625"/>
          <a:ext cx="666750" cy="2085975"/>
        </a:xfrm>
        <a:prstGeom prst="straightConnector1">
          <a:avLst/>
        </a:prstGeom>
        <a:ln w="19050" cap="flat" cmpd="sng" algn="ctr">
          <a:solidFill>
            <a:srgbClr val="FF0000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0</xdr:col>
      <xdr:colOff>771525</xdr:colOff>
      <xdr:row>57</xdr:row>
      <xdr:rowOff>104775</xdr:rowOff>
    </xdr:from>
    <xdr:to>
      <xdr:col>7</xdr:col>
      <xdr:colOff>619125</xdr:colOff>
      <xdr:row>76</xdr:row>
      <xdr:rowOff>171450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A92FB202-F6E6-46C5-8731-90441CEAFB00}"/>
            </a:ext>
          </a:extLst>
        </xdr:cNvPr>
        <xdr:cNvCxnSpPr/>
      </xdr:nvCxnSpPr>
      <xdr:spPr>
        <a:xfrm flipV="1">
          <a:off x="771525" y="11125200"/>
          <a:ext cx="5238750" cy="3686175"/>
        </a:xfrm>
        <a:prstGeom prst="straightConnector1">
          <a:avLst/>
        </a:prstGeom>
        <a:ln w="19050" cap="flat" cmpd="sng" algn="ctr">
          <a:solidFill>
            <a:srgbClr val="FF0000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2.%20SDSU/3.%20Projects/1.%20First%20Semester/Maguire%20Iron%20INC.%20Water%20Tank%20Project/Gathered%20Documents%20In%20Sep2025/Spreadsheets/B-100DE.xlsx" TargetMode="External"/><Relationship Id="rId2" Type="http://schemas.openxmlformats.org/officeDocument/2006/relationships/externalLinkPath" Target="file:///C:\Users\ahmadrafi.faqiri\Desktop\2.%20SDSU\3.%20Projects\1.%20First%20Semester\Maguire%20Iron%20INC.%20Water%20Tank%20Project\Gathered%20Documents%20In%20Sep2025\Spreadsheets\B-100DE.xlsx" TargetMode="External"/><Relationship Id="rId1" Type="http://schemas.openxmlformats.org/officeDocument/2006/relationships/externalLinkPath" Target="/Users/ahmadrafi.faqiri/Desktop/2.%20SDSU/3.%20Projects/1.%20First%20Semester/Maguire%20Iron%20INC.%20Water%20Tank%20Project/Gathered%20Documents%20In%20Sep2025/Spreadsheets/B-100D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Wind and Seismic"/>
      <sheetName val="Loads"/>
      <sheetName val="Design Table"/>
      <sheetName val="Tanks Information"/>
    </sheetNames>
    <sheetDataSet>
      <sheetData sheetId="0">
        <row r="16">
          <cell r="N16">
            <v>5672.3022218127935</v>
          </cell>
        </row>
        <row r="70">
          <cell r="B70">
            <v>965.66028387486801</v>
          </cell>
        </row>
        <row r="74">
          <cell r="B74">
            <v>2573.9604645410845</v>
          </cell>
        </row>
      </sheetData>
      <sheetData sheetId="1"/>
      <sheetData sheetId="2"/>
      <sheetData sheetId="3">
        <row r="2">
          <cell r="A2" t="str">
            <v>50K-DE</v>
          </cell>
          <cell r="B2">
            <v>24</v>
          </cell>
          <cell r="C2">
            <v>11.5</v>
          </cell>
          <cell r="D2">
            <v>23.001000000000001</v>
          </cell>
          <cell r="E2">
            <v>421</v>
          </cell>
          <cell r="F2">
            <v>25.026399999999999</v>
          </cell>
          <cell r="G2">
            <v>446.02640000000002</v>
          </cell>
          <cell r="H2">
            <v>470</v>
          </cell>
        </row>
        <row r="3">
          <cell r="A3" t="str">
            <v>100K-DE</v>
          </cell>
          <cell r="B3">
            <v>32</v>
          </cell>
          <cell r="C3">
            <v>12.6</v>
          </cell>
          <cell r="D3">
            <v>25.215599999999998</v>
          </cell>
          <cell r="E3">
            <v>879</v>
          </cell>
          <cell r="F3">
            <v>40.386499999999998</v>
          </cell>
          <cell r="G3">
            <v>919.38649999999996</v>
          </cell>
          <cell r="H3">
            <v>612</v>
          </cell>
        </row>
        <row r="4">
          <cell r="A4" t="str">
            <v>200K-DE</v>
          </cell>
          <cell r="B4">
            <v>38</v>
          </cell>
          <cell r="C4">
            <v>16</v>
          </cell>
          <cell r="D4">
            <v>31.5884</v>
          </cell>
          <cell r="E4">
            <v>1729</v>
          </cell>
          <cell r="F4">
            <v>63.695300000000003</v>
          </cell>
          <cell r="G4">
            <v>1792.6953000000001</v>
          </cell>
          <cell r="H4">
            <v>982</v>
          </cell>
        </row>
        <row r="5">
          <cell r="A5" t="str">
            <v>250K-TORO</v>
          </cell>
          <cell r="B5">
            <v>43</v>
          </cell>
          <cell r="C5">
            <v>14.1</v>
          </cell>
          <cell r="D5">
            <v>29.677700000000002</v>
          </cell>
          <cell r="E5">
            <v>2139</v>
          </cell>
          <cell r="F5">
            <v>69.912999999999997</v>
          </cell>
          <cell r="G5">
            <v>2208.913</v>
          </cell>
          <cell r="H5">
            <v>1067</v>
          </cell>
        </row>
        <row r="6">
          <cell r="A6" t="str">
            <v>300K-TORO</v>
          </cell>
          <cell r="B6">
            <v>43</v>
          </cell>
          <cell r="C6">
            <v>16</v>
          </cell>
          <cell r="D6">
            <v>34.5944</v>
          </cell>
          <cell r="E6">
            <v>2581</v>
          </cell>
          <cell r="F6">
            <v>84.741</v>
          </cell>
          <cell r="G6">
            <v>2665.741</v>
          </cell>
          <cell r="H6">
            <v>1278</v>
          </cell>
        </row>
        <row r="7">
          <cell r="A7" t="str">
            <v>400K-TORO</v>
          </cell>
          <cell r="B7">
            <v>50</v>
          </cell>
          <cell r="C7">
            <v>15.8</v>
          </cell>
          <cell r="D7">
            <v>34.394599999999997</v>
          </cell>
          <cell r="E7">
            <v>3353</v>
          </cell>
          <cell r="F7">
            <v>83.700199999999995</v>
          </cell>
          <cell r="G7">
            <v>3436.7002000000002</v>
          </cell>
          <cell r="H7">
            <v>1437</v>
          </cell>
        </row>
        <row r="8">
          <cell r="A8" t="str">
            <v>500K-TORO</v>
          </cell>
          <cell r="B8">
            <v>56</v>
          </cell>
          <cell r="C8">
            <v>15</v>
          </cell>
          <cell r="D8">
            <v>34.855200000000004</v>
          </cell>
          <cell r="E8">
            <v>4199</v>
          </cell>
          <cell r="F8">
            <v>133.14500000000001</v>
          </cell>
          <cell r="G8">
            <v>4332.1450000000004</v>
          </cell>
          <cell r="H8">
            <v>1617</v>
          </cell>
        </row>
      </sheetData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Q20"/>
  <sheetViews>
    <sheetView showGridLines="0" workbookViewId="0">
      <selection activeCell="P8" sqref="P8"/>
    </sheetView>
  </sheetViews>
  <sheetFormatPr defaultRowHeight="15" x14ac:dyDescent="0.25"/>
  <cols>
    <col min="1" max="1" width="22.7109375" customWidth="1"/>
    <col min="2" max="2" width="16.28515625" bestFit="1" customWidth="1"/>
    <col min="3" max="3" width="25.28515625" customWidth="1"/>
    <col min="4" max="4" width="29" customWidth="1"/>
  </cols>
  <sheetData>
    <row r="1" spans="1:17" ht="27.95" customHeight="1" x14ac:dyDescent="0.25">
      <c r="A1" s="270" t="s">
        <v>0</v>
      </c>
      <c r="B1" s="271"/>
      <c r="C1" s="271"/>
      <c r="D1" s="272"/>
      <c r="F1" s="276" t="s">
        <v>374</v>
      </c>
      <c r="G1" s="276"/>
      <c r="H1" s="276"/>
      <c r="I1" s="276"/>
      <c r="J1" s="276"/>
      <c r="K1" s="276"/>
      <c r="L1" s="276" t="s">
        <v>375</v>
      </c>
      <c r="M1" s="277"/>
      <c r="N1" s="277"/>
      <c r="O1" s="277"/>
      <c r="P1" s="277"/>
      <c r="Q1" s="277"/>
    </row>
    <row r="2" spans="1:17" ht="15.75" thickBot="1" x14ac:dyDescent="0.3">
      <c r="A2" s="273"/>
      <c r="B2" s="274"/>
      <c r="C2" s="274"/>
      <c r="D2" s="275"/>
      <c r="F2" s="276"/>
      <c r="G2" s="276"/>
      <c r="H2" s="276"/>
      <c r="I2" s="276"/>
      <c r="J2" s="276"/>
      <c r="K2" s="276"/>
      <c r="L2" s="277"/>
      <c r="M2" s="277"/>
      <c r="N2" s="277"/>
      <c r="O2" s="277"/>
      <c r="P2" s="277"/>
      <c r="Q2" s="277"/>
    </row>
    <row r="3" spans="1:17" ht="20.100000000000001" customHeight="1" thickBot="1" x14ac:dyDescent="0.3">
      <c r="A3" s="243" t="s">
        <v>1</v>
      </c>
      <c r="B3" s="243" t="s">
        <v>2</v>
      </c>
      <c r="C3" s="243" t="s">
        <v>3</v>
      </c>
      <c r="D3" s="243" t="s">
        <v>4</v>
      </c>
      <c r="F3" s="276"/>
      <c r="G3" s="276"/>
      <c r="H3" s="276"/>
      <c r="I3" s="276"/>
      <c r="J3" s="276"/>
      <c r="K3" s="276"/>
      <c r="L3" s="277"/>
      <c r="M3" s="277"/>
      <c r="N3" s="277"/>
      <c r="O3" s="277"/>
      <c r="P3" s="277"/>
      <c r="Q3" s="277"/>
    </row>
    <row r="4" spans="1:17" ht="45" x14ac:dyDescent="0.25">
      <c r="A4" s="205" t="s">
        <v>5</v>
      </c>
      <c r="B4" s="244" t="s">
        <v>6</v>
      </c>
      <c r="C4" s="242" t="s">
        <v>7</v>
      </c>
      <c r="D4" s="242" t="s">
        <v>8</v>
      </c>
    </row>
    <row r="5" spans="1:17" ht="36.75" customHeight="1" x14ac:dyDescent="0.25">
      <c r="A5" s="206" t="s">
        <v>9</v>
      </c>
      <c r="B5" s="245" t="s">
        <v>10</v>
      </c>
      <c r="C5" s="206" t="s">
        <v>11</v>
      </c>
      <c r="D5" s="206" t="s">
        <v>12</v>
      </c>
    </row>
    <row r="6" spans="1:17" ht="39.950000000000003" customHeight="1" x14ac:dyDescent="0.25">
      <c r="A6" s="206" t="s">
        <v>13</v>
      </c>
      <c r="B6" s="245" t="s">
        <v>14</v>
      </c>
      <c r="C6" s="206" t="s">
        <v>15</v>
      </c>
      <c r="D6" s="206" t="s">
        <v>16</v>
      </c>
    </row>
    <row r="7" spans="1:17" ht="30" x14ac:dyDescent="0.25">
      <c r="A7" s="206" t="s">
        <v>17</v>
      </c>
      <c r="B7" s="245" t="s">
        <v>18</v>
      </c>
      <c r="C7" s="206" t="s">
        <v>19</v>
      </c>
      <c r="D7" s="206" t="s">
        <v>20</v>
      </c>
    </row>
    <row r="8" spans="1:17" ht="39.950000000000003" customHeight="1" x14ac:dyDescent="0.25">
      <c r="A8" s="206" t="s">
        <v>21</v>
      </c>
      <c r="B8" s="245" t="s">
        <v>18</v>
      </c>
      <c r="C8" s="206" t="s">
        <v>22</v>
      </c>
      <c r="D8" s="206" t="s">
        <v>23</v>
      </c>
    </row>
    <row r="9" spans="1:17" ht="60" x14ac:dyDescent="0.25">
      <c r="A9" s="206" t="s">
        <v>24</v>
      </c>
      <c r="B9" s="245" t="s">
        <v>25</v>
      </c>
      <c r="C9" s="206" t="s">
        <v>26</v>
      </c>
      <c r="D9" s="206" t="s">
        <v>27</v>
      </c>
      <c r="G9" s="277"/>
      <c r="H9" s="277"/>
      <c r="I9" s="277"/>
      <c r="J9" s="277"/>
      <c r="K9" s="277"/>
      <c r="L9" s="277"/>
    </row>
    <row r="10" spans="1:17" ht="30" x14ac:dyDescent="0.25">
      <c r="A10" s="206" t="s">
        <v>28</v>
      </c>
      <c r="B10" s="245" t="s">
        <v>29</v>
      </c>
      <c r="C10" s="206" t="s">
        <v>30</v>
      </c>
      <c r="D10" s="206" t="s">
        <v>31</v>
      </c>
      <c r="G10" s="277"/>
      <c r="H10" s="277"/>
      <c r="I10" s="277"/>
      <c r="J10" s="277"/>
      <c r="K10" s="277"/>
      <c r="L10" s="277"/>
    </row>
    <row r="11" spans="1:17" ht="30" x14ac:dyDescent="0.25">
      <c r="A11" s="206" t="s">
        <v>32</v>
      </c>
      <c r="B11" s="245" t="s">
        <v>33</v>
      </c>
      <c r="C11" s="206" t="s">
        <v>34</v>
      </c>
      <c r="D11" s="206" t="s">
        <v>35</v>
      </c>
      <c r="G11" s="277"/>
      <c r="H11" s="277"/>
      <c r="I11" s="277"/>
      <c r="J11" s="277"/>
      <c r="K11" s="277"/>
      <c r="L11" s="277"/>
    </row>
    <row r="12" spans="1:17" ht="45" x14ac:dyDescent="0.25">
      <c r="A12" s="206" t="s">
        <v>36</v>
      </c>
      <c r="B12" s="245" t="s">
        <v>37</v>
      </c>
      <c r="C12" s="206" t="s">
        <v>38</v>
      </c>
      <c r="D12" s="206" t="s">
        <v>39</v>
      </c>
    </row>
    <row r="13" spans="1:17" ht="30" x14ac:dyDescent="0.25">
      <c r="A13" s="206" t="s">
        <v>40</v>
      </c>
      <c r="B13" s="245" t="s">
        <v>33</v>
      </c>
      <c r="C13" s="206" t="s">
        <v>41</v>
      </c>
      <c r="D13" s="206" t="s">
        <v>42</v>
      </c>
    </row>
    <row r="14" spans="1:17" ht="39.950000000000003" customHeight="1" x14ac:dyDescent="0.25">
      <c r="A14" s="206" t="s">
        <v>43</v>
      </c>
      <c r="B14" s="245" t="s">
        <v>44</v>
      </c>
      <c r="C14" s="206" t="s">
        <v>45</v>
      </c>
      <c r="D14" s="206" t="s">
        <v>46</v>
      </c>
    </row>
    <row r="15" spans="1:17" ht="39.950000000000003" customHeight="1" x14ac:dyDescent="0.25">
      <c r="A15" s="206" t="s">
        <v>47</v>
      </c>
      <c r="B15" s="245" t="s">
        <v>48</v>
      </c>
      <c r="C15" s="206" t="s">
        <v>49</v>
      </c>
      <c r="D15" s="206" t="s">
        <v>50</v>
      </c>
    </row>
    <row r="16" spans="1:17" ht="60" x14ac:dyDescent="0.25">
      <c r="A16" s="206" t="s">
        <v>51</v>
      </c>
      <c r="B16" s="245" t="s">
        <v>52</v>
      </c>
      <c r="C16" s="206" t="s">
        <v>53</v>
      </c>
      <c r="D16" s="206" t="s">
        <v>54</v>
      </c>
    </row>
    <row r="17" spans="1:4" ht="45" x14ac:dyDescent="0.25">
      <c r="A17" s="206" t="s">
        <v>55</v>
      </c>
      <c r="B17" s="245" t="s">
        <v>56</v>
      </c>
      <c r="C17" s="206" t="s">
        <v>57</v>
      </c>
      <c r="D17" s="206" t="s">
        <v>58</v>
      </c>
    </row>
    <row r="18" spans="1:4" ht="39.950000000000003" customHeight="1" x14ac:dyDescent="0.25">
      <c r="A18" s="206" t="s">
        <v>59</v>
      </c>
      <c r="B18" s="245" t="s">
        <v>60</v>
      </c>
      <c r="C18" s="206" t="s">
        <v>61</v>
      </c>
      <c r="D18" s="206" t="s">
        <v>62</v>
      </c>
    </row>
    <row r="19" spans="1:4" ht="39.950000000000003" customHeight="1" x14ac:dyDescent="0.25">
      <c r="A19" s="206" t="s">
        <v>63</v>
      </c>
      <c r="B19" s="245" t="s">
        <v>64</v>
      </c>
      <c r="C19" s="206" t="s">
        <v>65</v>
      </c>
      <c r="D19" s="206" t="s">
        <v>66</v>
      </c>
    </row>
    <row r="20" spans="1:4" ht="75.75" thickBot="1" x14ac:dyDescent="0.3">
      <c r="A20" s="207" t="s">
        <v>67</v>
      </c>
      <c r="B20" s="246" t="s">
        <v>68</v>
      </c>
      <c r="C20" s="207" t="s">
        <v>69</v>
      </c>
      <c r="D20" s="207" t="s">
        <v>70</v>
      </c>
    </row>
  </sheetData>
  <mergeCells count="4">
    <mergeCell ref="A1:D2"/>
    <mergeCell ref="F1:K3"/>
    <mergeCell ref="L1:Q3"/>
    <mergeCell ref="G9:L11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6DAFB-53E9-4A89-8503-3AB78FBEFD78}">
  <dimension ref="A1:O75"/>
  <sheetViews>
    <sheetView workbookViewId="0">
      <selection activeCell="G73" sqref="G73"/>
    </sheetView>
  </sheetViews>
  <sheetFormatPr defaultRowHeight="15" x14ac:dyDescent="0.25"/>
  <cols>
    <col min="1" max="1" width="23" bestFit="1" customWidth="1"/>
    <col min="2" max="2" width="8.140625" bestFit="1" customWidth="1"/>
    <col min="3" max="3" width="6.7109375" bestFit="1" customWidth="1"/>
    <col min="4" max="4" width="23" bestFit="1" customWidth="1"/>
    <col min="5" max="5" width="6.5703125" bestFit="1" customWidth="1"/>
    <col min="6" max="6" width="4.5703125" bestFit="1" customWidth="1"/>
    <col min="7" max="7" width="23" bestFit="1" customWidth="1"/>
    <col min="8" max="8" width="6.5703125" bestFit="1" customWidth="1"/>
    <col min="9" max="9" width="4.85546875" bestFit="1" customWidth="1"/>
    <col min="10" max="10" width="23" bestFit="1" customWidth="1"/>
    <col min="11" max="11" width="7.5703125" bestFit="1" customWidth="1"/>
    <col min="12" max="12" width="4.85546875" bestFit="1" customWidth="1"/>
    <col min="13" max="13" width="20.5703125" bestFit="1" customWidth="1"/>
    <col min="14" max="14" width="8.5703125" bestFit="1" customWidth="1"/>
    <col min="15" max="15" width="6.7109375" bestFit="1" customWidth="1"/>
  </cols>
  <sheetData>
    <row r="1" spans="1:15" ht="15.75" thickBot="1" x14ac:dyDescent="0.3">
      <c r="A1" s="291" t="s">
        <v>254</v>
      </c>
      <c r="B1" s="292"/>
      <c r="C1" s="293"/>
      <c r="D1" s="30"/>
      <c r="E1" s="31"/>
      <c r="F1" s="32"/>
      <c r="G1" s="33"/>
      <c r="H1" s="34"/>
      <c r="I1" s="33"/>
      <c r="J1" s="33"/>
      <c r="K1" s="34"/>
      <c r="L1" s="33"/>
      <c r="M1" s="294" t="s">
        <v>329</v>
      </c>
      <c r="N1" s="295"/>
      <c r="O1" s="296"/>
    </row>
    <row r="2" spans="1:15" ht="18" x14ac:dyDescent="0.35">
      <c r="A2" s="168" t="s">
        <v>255</v>
      </c>
      <c r="B2" s="35">
        <v>1</v>
      </c>
      <c r="C2" s="36"/>
      <c r="D2" s="33"/>
      <c r="E2" s="34"/>
      <c r="F2" s="33"/>
      <c r="G2" s="33"/>
      <c r="H2" s="34"/>
      <c r="I2" s="33"/>
      <c r="J2" s="33"/>
      <c r="K2" s="34"/>
      <c r="L2" s="33"/>
      <c r="M2" s="77" t="s">
        <v>330</v>
      </c>
      <c r="N2" s="239">
        <v>0.34599999999999997</v>
      </c>
      <c r="O2" s="79" t="s">
        <v>343</v>
      </c>
    </row>
    <row r="3" spans="1:15" ht="18" x14ac:dyDescent="0.35">
      <c r="A3" s="169" t="s">
        <v>256</v>
      </c>
      <c r="B3" s="38">
        <v>1</v>
      </c>
      <c r="C3" s="39"/>
      <c r="D3" s="33"/>
      <c r="E3" s="34"/>
      <c r="F3" s="33"/>
      <c r="G3" s="33"/>
      <c r="H3" s="34"/>
      <c r="I3" s="33"/>
      <c r="J3" s="33"/>
      <c r="K3" s="34"/>
      <c r="L3" s="33"/>
      <c r="M3" s="77" t="s">
        <v>331</v>
      </c>
      <c r="N3" s="239">
        <v>0.15</v>
      </c>
      <c r="O3" s="79" t="s">
        <v>343</v>
      </c>
    </row>
    <row r="4" spans="1:15" ht="18" x14ac:dyDescent="0.35">
      <c r="A4" s="169" t="s">
        <v>257</v>
      </c>
      <c r="B4" s="38">
        <v>1</v>
      </c>
      <c r="C4" s="39"/>
      <c r="D4" s="33"/>
      <c r="E4" s="34"/>
      <c r="F4" s="33"/>
      <c r="G4" s="33"/>
      <c r="H4" s="34"/>
      <c r="I4" s="33"/>
      <c r="J4" s="33"/>
      <c r="K4" s="34"/>
      <c r="L4" s="33"/>
      <c r="M4" s="77" t="s">
        <v>332</v>
      </c>
      <c r="N4" s="239">
        <f>2/3*1.6*N2</f>
        <v>0.36906666666666665</v>
      </c>
      <c r="O4" s="79" t="s">
        <v>343</v>
      </c>
    </row>
    <row r="5" spans="1:15" ht="18" x14ac:dyDescent="0.35">
      <c r="A5" s="169" t="s">
        <v>258</v>
      </c>
      <c r="B5" s="38">
        <v>116</v>
      </c>
      <c r="C5" s="39" t="s">
        <v>307</v>
      </c>
      <c r="D5" s="40" t="s">
        <v>318</v>
      </c>
      <c r="E5" s="41">
        <v>4</v>
      </c>
      <c r="F5" s="33"/>
      <c r="G5" s="33"/>
      <c r="H5" s="34"/>
      <c r="I5" s="33"/>
      <c r="J5" s="33"/>
      <c r="K5" s="34"/>
      <c r="L5" s="33"/>
      <c r="M5" s="77" t="s">
        <v>333</v>
      </c>
      <c r="N5" s="239">
        <f>2/3*2.4*N3</f>
        <v>0.23999999999999996</v>
      </c>
      <c r="O5" s="79" t="s">
        <v>343</v>
      </c>
    </row>
    <row r="6" spans="1:15" x14ac:dyDescent="0.25">
      <c r="A6" s="169" t="s">
        <v>259</v>
      </c>
      <c r="B6" s="42" t="s">
        <v>306</v>
      </c>
      <c r="C6" s="39"/>
      <c r="D6" s="33"/>
      <c r="E6" s="34"/>
      <c r="F6" s="33"/>
      <c r="G6" s="33"/>
      <c r="H6" s="34"/>
      <c r="I6" s="33"/>
      <c r="J6" s="33"/>
      <c r="K6" s="34"/>
      <c r="L6" s="33"/>
      <c r="M6" s="77" t="s">
        <v>334</v>
      </c>
      <c r="N6" s="239">
        <v>3</v>
      </c>
      <c r="O6" s="79"/>
    </row>
    <row r="7" spans="1:15" ht="20.25" x14ac:dyDescent="0.35">
      <c r="A7" s="169" t="s">
        <v>260</v>
      </c>
      <c r="B7" s="38">
        <f>IF(B6="C",9.5,11.5)</f>
        <v>11.5</v>
      </c>
      <c r="C7" s="39"/>
      <c r="D7" s="33"/>
      <c r="E7" s="34"/>
      <c r="F7" s="33"/>
      <c r="G7" s="33"/>
      <c r="H7" s="34"/>
      <c r="I7" s="33"/>
      <c r="J7" s="33"/>
      <c r="K7" s="34"/>
      <c r="L7" s="33"/>
      <c r="M7" s="77" t="s">
        <v>335</v>
      </c>
      <c r="N7" s="239">
        <v>1.5</v>
      </c>
      <c r="O7" s="79"/>
    </row>
    <row r="8" spans="1:15" ht="18" x14ac:dyDescent="0.35">
      <c r="A8" s="169" t="s">
        <v>261</v>
      </c>
      <c r="B8" s="38">
        <f>IF(B6="C",900,700)</f>
        <v>700</v>
      </c>
      <c r="C8" s="39" t="s">
        <v>308</v>
      </c>
      <c r="D8" s="33"/>
      <c r="E8" s="34"/>
      <c r="F8" s="33"/>
      <c r="G8" s="33"/>
      <c r="H8" s="34"/>
      <c r="I8" s="33"/>
      <c r="J8" s="33"/>
      <c r="K8" s="34"/>
      <c r="L8" s="33"/>
      <c r="M8" s="77" t="s">
        <v>336</v>
      </c>
      <c r="N8" s="239">
        <v>12</v>
      </c>
      <c r="O8" s="79" t="s">
        <v>344</v>
      </c>
    </row>
    <row r="9" spans="1:15" x14ac:dyDescent="0.25">
      <c r="A9" s="169" t="s">
        <v>262</v>
      </c>
      <c r="B9" s="38">
        <v>1</v>
      </c>
      <c r="C9" s="39"/>
      <c r="D9" s="33"/>
      <c r="E9" s="34"/>
      <c r="F9" s="33"/>
      <c r="G9" s="33"/>
      <c r="H9" s="34"/>
      <c r="I9" s="33"/>
      <c r="J9" s="33"/>
      <c r="K9" s="34"/>
      <c r="L9" s="33"/>
      <c r="M9" s="77" t="s">
        <v>337</v>
      </c>
      <c r="N9" s="239">
        <v>1.5510999999999999</v>
      </c>
      <c r="O9" s="79" t="s">
        <v>344</v>
      </c>
    </row>
    <row r="10" spans="1:15" ht="18" x14ac:dyDescent="0.35">
      <c r="A10" s="169" t="s">
        <v>263</v>
      </c>
      <c r="B10" s="38">
        <v>0.7</v>
      </c>
      <c r="C10" s="39"/>
      <c r="D10" s="33"/>
      <c r="E10" s="34"/>
      <c r="F10" s="33"/>
      <c r="G10" s="33"/>
      <c r="H10" s="34"/>
      <c r="I10" s="33"/>
      <c r="J10" s="33"/>
      <c r="K10" s="34"/>
      <c r="L10" s="33"/>
      <c r="M10" s="77" t="s">
        <v>338</v>
      </c>
      <c r="N10" s="239">
        <f>N5/N4</f>
        <v>0.65028901734104039</v>
      </c>
      <c r="O10" s="79" t="s">
        <v>344</v>
      </c>
    </row>
    <row r="11" spans="1:15" ht="18" x14ac:dyDescent="0.35">
      <c r="A11" s="170" t="s">
        <v>264</v>
      </c>
      <c r="B11" s="38">
        <v>0.6</v>
      </c>
      <c r="C11" s="39"/>
      <c r="D11" s="33"/>
      <c r="E11" s="34"/>
      <c r="F11" s="33"/>
      <c r="G11" s="33"/>
      <c r="H11" s="34"/>
      <c r="I11" s="33"/>
      <c r="J11" s="33"/>
      <c r="K11" s="34"/>
      <c r="L11" s="33"/>
      <c r="M11" s="77" t="s">
        <v>339</v>
      </c>
      <c r="N11" s="239">
        <f>IF(N9&lt;N10,N4,IF(N9&gt;N8,N5*N8/N9^2,N5/N9))</f>
        <v>0.15472890206949905</v>
      </c>
      <c r="O11" s="79"/>
    </row>
    <row r="12" spans="1:15" ht="19.5" thickBot="1" x14ac:dyDescent="0.4">
      <c r="A12" s="237" t="s">
        <v>265</v>
      </c>
      <c r="B12" s="43">
        <f>B11*0.00256*B2*B3*B4*B5^2</f>
        <v>20.668416000000001</v>
      </c>
      <c r="C12" s="238" t="s">
        <v>309</v>
      </c>
      <c r="D12" s="33"/>
      <c r="E12" s="34"/>
      <c r="F12" s="33"/>
      <c r="G12" s="33"/>
      <c r="H12" s="34"/>
      <c r="I12" s="33"/>
      <c r="J12" s="33"/>
      <c r="K12" s="34"/>
      <c r="L12" s="33"/>
      <c r="M12" s="240" t="s">
        <v>264</v>
      </c>
      <c r="N12" s="239">
        <v>0.7</v>
      </c>
      <c r="O12" s="79"/>
    </row>
    <row r="13" spans="1:15" ht="19.5" thickBot="1" x14ac:dyDescent="0.4">
      <c r="A13" s="279" t="s">
        <v>266</v>
      </c>
      <c r="B13" s="280"/>
      <c r="C13" s="281"/>
      <c r="D13" s="282" t="s">
        <v>266</v>
      </c>
      <c r="E13" s="283"/>
      <c r="F13" s="284"/>
      <c r="G13" s="279" t="s">
        <v>266</v>
      </c>
      <c r="H13" s="280"/>
      <c r="I13" s="281"/>
      <c r="J13" s="282" t="s">
        <v>325</v>
      </c>
      <c r="K13" s="283"/>
      <c r="L13" s="283"/>
      <c r="M13" s="240" t="s">
        <v>340</v>
      </c>
      <c r="N13" s="44">
        <f>MAX(N12*N11*N7/N6,0.36*N3*N7/N6)</f>
        <v>5.4155115724324666E-2</v>
      </c>
      <c r="O13" s="79" t="s">
        <v>345</v>
      </c>
    </row>
    <row r="14" spans="1:15" ht="18" thickTop="1" x14ac:dyDescent="0.3">
      <c r="A14" s="45" t="s">
        <v>267</v>
      </c>
      <c r="B14" s="46">
        <v>1</v>
      </c>
      <c r="C14" s="47"/>
      <c r="D14" s="48" t="s">
        <v>267</v>
      </c>
      <c r="E14" s="49">
        <v>2</v>
      </c>
      <c r="F14" s="48"/>
      <c r="G14" s="45" t="s">
        <v>267</v>
      </c>
      <c r="H14" s="46">
        <v>3</v>
      </c>
      <c r="I14" s="47"/>
      <c r="J14" s="50" t="s">
        <v>267</v>
      </c>
      <c r="K14" s="49">
        <v>4</v>
      </c>
      <c r="L14" s="48"/>
      <c r="M14" s="59" t="s">
        <v>341</v>
      </c>
      <c r="N14" s="241">
        <f>(B29+E29+H29+K29+B47+E47+H47+K47+(B60*B64))/B70</f>
        <v>108.46646939001788</v>
      </c>
      <c r="O14" s="60"/>
    </row>
    <row r="15" spans="1:15" x14ac:dyDescent="0.25">
      <c r="A15" s="54" t="s">
        <v>268</v>
      </c>
      <c r="B15" s="55">
        <v>0.3125</v>
      </c>
      <c r="C15" s="56" t="s">
        <v>180</v>
      </c>
      <c r="D15" s="57" t="s">
        <v>268</v>
      </c>
      <c r="E15" s="58">
        <v>0.3125</v>
      </c>
      <c r="F15" s="57" t="s">
        <v>180</v>
      </c>
      <c r="G15" s="54" t="s">
        <v>268</v>
      </c>
      <c r="H15" s="55">
        <v>0.25</v>
      </c>
      <c r="I15" s="56" t="s">
        <v>180</v>
      </c>
      <c r="J15" s="59" t="s">
        <v>268</v>
      </c>
      <c r="K15" s="58">
        <v>0</v>
      </c>
      <c r="L15" s="57" t="s">
        <v>180</v>
      </c>
      <c r="M15" s="77" t="s">
        <v>258</v>
      </c>
      <c r="N15" s="239">
        <f>N13*B70</f>
        <v>52.295444423627686</v>
      </c>
      <c r="O15" s="79" t="s">
        <v>193</v>
      </c>
    </row>
    <row r="16" spans="1:15" ht="18.75" thickBot="1" x14ac:dyDescent="0.4">
      <c r="A16" s="54" t="s">
        <v>269</v>
      </c>
      <c r="B16" s="61">
        <v>0</v>
      </c>
      <c r="C16" s="56" t="s">
        <v>308</v>
      </c>
      <c r="D16" s="57" t="s">
        <v>269</v>
      </c>
      <c r="E16" s="62">
        <f>B18</f>
        <v>38.054400000000001</v>
      </c>
      <c r="F16" s="57"/>
      <c r="G16" s="54" t="s">
        <v>269</v>
      </c>
      <c r="H16" s="61">
        <f>E18</f>
        <v>73.167400000000001</v>
      </c>
      <c r="I16" s="56" t="s">
        <v>308</v>
      </c>
      <c r="J16" s="59" t="s">
        <v>269</v>
      </c>
      <c r="K16" s="58">
        <v>0</v>
      </c>
      <c r="L16" s="57" t="s">
        <v>308</v>
      </c>
      <c r="M16" s="126" t="s">
        <v>342</v>
      </c>
      <c r="N16" s="63">
        <f>N15*N14</f>
        <v>5672.3022218127935</v>
      </c>
      <c r="O16" s="128" t="s">
        <v>317</v>
      </c>
    </row>
    <row r="17" spans="1:15" x14ac:dyDescent="0.25">
      <c r="A17" s="54" t="s">
        <v>270</v>
      </c>
      <c r="B17" s="61">
        <v>38.054400000000001</v>
      </c>
      <c r="C17" s="56" t="s">
        <v>308</v>
      </c>
      <c r="D17" s="57" t="s">
        <v>270</v>
      </c>
      <c r="E17" s="62">
        <v>35.113</v>
      </c>
      <c r="F17" s="57" t="s">
        <v>308</v>
      </c>
      <c r="G17" s="54" t="s">
        <v>270</v>
      </c>
      <c r="H17" s="61">
        <v>35.148800000000001</v>
      </c>
      <c r="I17" s="56" t="s">
        <v>308</v>
      </c>
      <c r="J17" s="59" t="s">
        <v>270</v>
      </c>
      <c r="K17" s="58">
        <v>0</v>
      </c>
      <c r="L17" s="60" t="s">
        <v>308</v>
      </c>
      <c r="M17" s="52"/>
      <c r="N17" s="57"/>
      <c r="O17" s="53"/>
    </row>
    <row r="18" spans="1:15" ht="18" x14ac:dyDescent="0.35">
      <c r="A18" s="54" t="s">
        <v>271</v>
      </c>
      <c r="B18" s="61">
        <f>B16+B17</f>
        <v>38.054400000000001</v>
      </c>
      <c r="C18" s="56" t="s">
        <v>308</v>
      </c>
      <c r="D18" s="57" t="s">
        <v>271</v>
      </c>
      <c r="E18" s="62">
        <f>E16+E17</f>
        <v>73.167400000000001</v>
      </c>
      <c r="F18" s="57"/>
      <c r="G18" s="54" t="s">
        <v>271</v>
      </c>
      <c r="H18" s="61">
        <f>H16+H17</f>
        <v>108.31620000000001</v>
      </c>
      <c r="I18" s="56" t="s">
        <v>308</v>
      </c>
      <c r="J18" s="59" t="s">
        <v>271</v>
      </c>
      <c r="K18" s="58">
        <f>K16+K17</f>
        <v>0</v>
      </c>
      <c r="L18" s="60" t="s">
        <v>308</v>
      </c>
      <c r="M18" s="52"/>
      <c r="N18" s="57"/>
      <c r="O18" s="53"/>
    </row>
    <row r="19" spans="1:15" x14ac:dyDescent="0.25">
      <c r="A19" s="54" t="s">
        <v>272</v>
      </c>
      <c r="B19" s="61">
        <v>1.67</v>
      </c>
      <c r="C19" s="56" t="s">
        <v>308</v>
      </c>
      <c r="D19" s="57" t="s">
        <v>272</v>
      </c>
      <c r="E19" s="62">
        <v>1.67</v>
      </c>
      <c r="F19" s="57" t="s">
        <v>308</v>
      </c>
      <c r="G19" s="54" t="s">
        <v>272</v>
      </c>
      <c r="H19" s="61">
        <v>1.67</v>
      </c>
      <c r="I19" s="56" t="s">
        <v>308</v>
      </c>
      <c r="J19" s="59" t="s">
        <v>272</v>
      </c>
      <c r="K19" s="58">
        <v>0</v>
      </c>
      <c r="L19" s="60" t="s">
        <v>308</v>
      </c>
      <c r="M19" s="52"/>
      <c r="N19" s="57"/>
      <c r="O19" s="53"/>
    </row>
    <row r="20" spans="1:15" ht="18.75" x14ac:dyDescent="0.35">
      <c r="A20" s="64" t="s">
        <v>273</v>
      </c>
      <c r="B20" s="65">
        <f>IF(B15=0,0,$E$5*B19*B17)</f>
        <v>254.20339200000001</v>
      </c>
      <c r="C20" s="66" t="s">
        <v>310</v>
      </c>
      <c r="D20" s="67" t="s">
        <v>273</v>
      </c>
      <c r="E20" s="68">
        <f>IF(E15=0,0,$E$5*E19*E17)</f>
        <v>234.55483999999998</v>
      </c>
      <c r="F20" s="69" t="s">
        <v>310</v>
      </c>
      <c r="G20" s="64" t="s">
        <v>273</v>
      </c>
      <c r="H20" s="65">
        <f>IF(H15=0,0,$E$5*H19*H17)</f>
        <v>234.79398399999999</v>
      </c>
      <c r="I20" s="66" t="s">
        <v>310</v>
      </c>
      <c r="J20" s="70" t="s">
        <v>273</v>
      </c>
      <c r="K20" s="71">
        <f>IF(K15=0,0,$E$5*K19*K17)</f>
        <v>0</v>
      </c>
      <c r="L20" s="72" t="s">
        <v>310</v>
      </c>
      <c r="M20" s="52"/>
      <c r="N20" s="57"/>
      <c r="O20" s="53"/>
    </row>
    <row r="21" spans="1:15" x14ac:dyDescent="0.25">
      <c r="A21" s="73" t="s">
        <v>274</v>
      </c>
      <c r="B21" s="74">
        <f>B16+B17/2</f>
        <v>19.027200000000001</v>
      </c>
      <c r="C21" s="75" t="s">
        <v>308</v>
      </c>
      <c r="D21" s="33" t="s">
        <v>274</v>
      </c>
      <c r="E21" s="76">
        <f>E16+E17/2</f>
        <v>55.610900000000001</v>
      </c>
      <c r="F21" s="33" t="s">
        <v>308</v>
      </c>
      <c r="G21" s="73" t="s">
        <v>274</v>
      </c>
      <c r="H21" s="74">
        <f>H16+H17/2</f>
        <v>90.741799999999998</v>
      </c>
      <c r="I21" s="75" t="s">
        <v>308</v>
      </c>
      <c r="J21" s="77" t="s">
        <v>274</v>
      </c>
      <c r="K21" s="78">
        <f>K16+K17/2</f>
        <v>0</v>
      </c>
      <c r="L21" s="79" t="s">
        <v>308</v>
      </c>
      <c r="M21" s="52"/>
      <c r="N21" s="57"/>
      <c r="O21" s="53"/>
    </row>
    <row r="22" spans="1:15" ht="18" x14ac:dyDescent="0.35">
      <c r="A22" s="73" t="s">
        <v>275</v>
      </c>
      <c r="B22" s="74">
        <f>2.01*(MAX(B16,15)/$B$8)^(2/$B$7)</f>
        <v>1.0302295642273647</v>
      </c>
      <c r="C22" s="75"/>
      <c r="D22" s="33" t="s">
        <v>275</v>
      </c>
      <c r="E22" s="76">
        <f>2.01*(MAX(E16,15)/$B$8)^(2/$B$7)</f>
        <v>1.211293594730521</v>
      </c>
      <c r="F22" s="33"/>
      <c r="G22" s="73" t="s">
        <v>275</v>
      </c>
      <c r="H22" s="74">
        <f>2.01*(MAX(H16,15)/$B$8)^(2/$B$7)</f>
        <v>1.3571428095889007</v>
      </c>
      <c r="I22" s="75"/>
      <c r="J22" s="77" t="s">
        <v>275</v>
      </c>
      <c r="K22" s="78">
        <f>2.01*(MAX(K16,15)/$B$8)^(2/$B$7)</f>
        <v>1.0302295642273647</v>
      </c>
      <c r="L22" s="79"/>
      <c r="M22" s="52"/>
      <c r="N22" s="57"/>
      <c r="O22" s="53"/>
    </row>
    <row r="23" spans="1:15" ht="18" x14ac:dyDescent="0.35">
      <c r="A23" s="73" t="s">
        <v>276</v>
      </c>
      <c r="B23" s="74">
        <f>2.01*(MAX(B18,15)/$B$8)^(2/$B$7)</f>
        <v>1.211293594730521</v>
      </c>
      <c r="C23" s="75"/>
      <c r="D23" s="33" t="s">
        <v>276</v>
      </c>
      <c r="E23" s="76">
        <f>2.01*(MAX(E18,15)/$B$8)^(2/$B$7)</f>
        <v>1.3571428095889007</v>
      </c>
      <c r="F23" s="33"/>
      <c r="G23" s="73" t="s">
        <v>276</v>
      </c>
      <c r="H23" s="74">
        <f>2.01*(MAX(H18,15)/$B$8)^(2/$B$7)</f>
        <v>1.4529682447896113</v>
      </c>
      <c r="I23" s="75"/>
      <c r="J23" s="77" t="s">
        <v>276</v>
      </c>
      <c r="K23" s="78">
        <f>2.01*(MAX(K18,15)/$B$8)^(2/$B$7)</f>
        <v>1.0302295642273647</v>
      </c>
      <c r="L23" s="79"/>
      <c r="M23" s="52"/>
      <c r="N23" s="57"/>
      <c r="O23" s="53"/>
    </row>
    <row r="24" spans="1:15" ht="18" x14ac:dyDescent="0.35">
      <c r="A24" s="73" t="s">
        <v>277</v>
      </c>
      <c r="B24" s="74">
        <f>B12*B22</f>
        <v>21.293213208949894</v>
      </c>
      <c r="C24" s="75" t="s">
        <v>309</v>
      </c>
      <c r="D24" s="33" t="s">
        <v>277</v>
      </c>
      <c r="E24" s="76">
        <f>B12*E22</f>
        <v>25.035519914025816</v>
      </c>
      <c r="F24" s="33" t="s">
        <v>309</v>
      </c>
      <c r="G24" s="73" t="s">
        <v>277</v>
      </c>
      <c r="H24" s="74">
        <f>B12*H22</f>
        <v>28.04999215999219</v>
      </c>
      <c r="I24" s="75" t="s">
        <v>309</v>
      </c>
      <c r="J24" s="77" t="s">
        <v>277</v>
      </c>
      <c r="K24" s="78">
        <f>MAX(K22*$B$12,30*$B$10)</f>
        <v>21.293213208949894</v>
      </c>
      <c r="L24" s="79" t="s">
        <v>309</v>
      </c>
      <c r="M24" s="52"/>
      <c r="N24" s="57"/>
      <c r="O24" s="53"/>
    </row>
    <row r="25" spans="1:15" ht="18" x14ac:dyDescent="0.35">
      <c r="A25" s="73" t="s">
        <v>278</v>
      </c>
      <c r="B25" s="74">
        <f>B12*B23</f>
        <v>25.035519914025816</v>
      </c>
      <c r="C25" s="75" t="s">
        <v>309</v>
      </c>
      <c r="D25" s="33" t="s">
        <v>278</v>
      </c>
      <c r="E25" s="76">
        <f>B12*E23</f>
        <v>28.04999215999219</v>
      </c>
      <c r="F25" s="33" t="s">
        <v>309</v>
      </c>
      <c r="G25" s="73" t="s">
        <v>278</v>
      </c>
      <c r="H25" s="74">
        <f>B12*H23</f>
        <v>30.030552118101518</v>
      </c>
      <c r="I25" s="75" t="s">
        <v>309</v>
      </c>
      <c r="J25" s="77" t="s">
        <v>278</v>
      </c>
      <c r="K25" s="78">
        <f>MAX(K23*$B$12,30*$B$10)</f>
        <v>21.293213208949894</v>
      </c>
      <c r="L25" s="79" t="s">
        <v>309</v>
      </c>
      <c r="M25" s="52"/>
      <c r="N25" s="57"/>
      <c r="O25" s="53"/>
    </row>
    <row r="26" spans="1:15" x14ac:dyDescent="0.25">
      <c r="A26" s="73" t="s">
        <v>279</v>
      </c>
      <c r="B26" s="74">
        <f>MAX(30*B10*B20/1000,B9*B10*(B24+B25)/2*B20/1000)</f>
        <v>5.3382712320000003</v>
      </c>
      <c r="C26" s="75" t="s">
        <v>193</v>
      </c>
      <c r="D26" s="33" t="s">
        <v>279</v>
      </c>
      <c r="E26" s="76">
        <f>MAX(30*B10*E20/1000,B9*B10*(E24+E25)/2*E20/1000)</f>
        <v>4.9256516399999999</v>
      </c>
      <c r="F26" s="33" t="s">
        <v>193</v>
      </c>
      <c r="G26" s="73" t="s">
        <v>279</v>
      </c>
      <c r="H26" s="74">
        <f>MAX(30*B10*H20/1000,B9*B10*(H24+H25)/2*H20/1000)</f>
        <v>4.9306736639999995</v>
      </c>
      <c r="I26" s="75" t="s">
        <v>193</v>
      </c>
      <c r="J26" s="77" t="s">
        <v>279</v>
      </c>
      <c r="K26" s="78">
        <f>(K24+K25)/2*K20/1000</f>
        <v>0</v>
      </c>
      <c r="L26" s="79" t="s">
        <v>193</v>
      </c>
      <c r="M26" s="80" t="s">
        <v>304</v>
      </c>
      <c r="N26" s="81">
        <f>K26+H26+E26+B26</f>
        <v>15.194596535999999</v>
      </c>
      <c r="O26" s="82" t="s">
        <v>193</v>
      </c>
    </row>
    <row r="27" spans="1:15" x14ac:dyDescent="0.25">
      <c r="A27" s="73" t="s">
        <v>280</v>
      </c>
      <c r="B27" s="74">
        <f>B16+((B24*B17^2/2+2/3*0.5*B17^2*(B25-B24))/(B24*B17+0.5*B17*(B25-B24)))</f>
        <v>19.539521499991601</v>
      </c>
      <c r="C27" s="75" t="s">
        <v>308</v>
      </c>
      <c r="D27" s="33" t="s">
        <v>280</v>
      </c>
      <c r="E27" s="76">
        <f>E16+((E24*E17^2/2+2/3*0.5*E17^2*(E25-E24))/(E24*E17+0.5*E17*(E25-E24)))</f>
        <v>55.94321654562998</v>
      </c>
      <c r="F27" s="33" t="s">
        <v>308</v>
      </c>
      <c r="G27" s="73" t="s">
        <v>280</v>
      </c>
      <c r="H27" s="74">
        <f>H16+((H24*H17^2/2+2/3*0.5*H17^2*(H25-H24))/(H24*H17+0.5*H17*(H25-H24)))</f>
        <v>90.941563698041691</v>
      </c>
      <c r="I27" s="75" t="s">
        <v>308</v>
      </c>
      <c r="J27" s="77" t="s">
        <v>280</v>
      </c>
      <c r="K27" s="78">
        <v>0</v>
      </c>
      <c r="L27" s="79" t="s">
        <v>308</v>
      </c>
      <c r="M27" s="52"/>
      <c r="N27" s="57"/>
      <c r="O27" s="37"/>
    </row>
    <row r="28" spans="1:15" x14ac:dyDescent="0.25">
      <c r="A28" s="73" t="s">
        <v>281</v>
      </c>
      <c r="B28" s="74">
        <f>B27*B26</f>
        <v>104.30726551045066</v>
      </c>
      <c r="C28" s="75" t="s">
        <v>193</v>
      </c>
      <c r="D28" s="83" t="s">
        <v>281</v>
      </c>
      <c r="E28" s="76">
        <f t="shared" ref="E28" si="0">E27*E26</f>
        <v>275.55679632485743</v>
      </c>
      <c r="F28" s="79" t="s">
        <v>193</v>
      </c>
      <c r="G28" s="84" t="s">
        <v>281</v>
      </c>
      <c r="H28" s="74">
        <f t="shared" ref="H28" si="1">H27*H26</f>
        <v>448.40317308891258</v>
      </c>
      <c r="I28" s="75" t="s">
        <v>193</v>
      </c>
      <c r="J28" s="83" t="s">
        <v>281</v>
      </c>
      <c r="K28" s="78">
        <v>0</v>
      </c>
      <c r="L28" s="79" t="s">
        <v>193</v>
      </c>
      <c r="M28" s="80" t="s">
        <v>305</v>
      </c>
      <c r="N28" s="81">
        <f>K28+H28+E28+B28</f>
        <v>828.2672349242207</v>
      </c>
      <c r="O28" s="82" t="s">
        <v>317</v>
      </c>
    </row>
    <row r="29" spans="1:15" x14ac:dyDescent="0.25">
      <c r="A29" s="73" t="s">
        <v>282</v>
      </c>
      <c r="B29" s="74">
        <f>B30*B21</f>
        <v>222.10395827938515</v>
      </c>
      <c r="C29" s="75"/>
      <c r="D29" s="83" t="s">
        <v>282</v>
      </c>
      <c r="E29" s="76">
        <f>E30*E21</f>
        <v>685.62580033280551</v>
      </c>
      <c r="F29" s="33"/>
      <c r="G29" s="84" t="s">
        <v>282</v>
      </c>
      <c r="H29" s="74">
        <f>H30*H21</f>
        <v>953.58498773743247</v>
      </c>
      <c r="I29" s="75"/>
      <c r="J29" s="83" t="s">
        <v>282</v>
      </c>
      <c r="K29" s="78">
        <f>K30*K21</f>
        <v>0</v>
      </c>
      <c r="L29" s="79"/>
      <c r="M29" s="52"/>
      <c r="N29" s="85"/>
      <c r="O29" s="53"/>
    </row>
    <row r="30" spans="1:15" ht="15.75" thickBot="1" x14ac:dyDescent="0.3">
      <c r="A30" s="86" t="s">
        <v>283</v>
      </c>
      <c r="B30" s="87">
        <f>(PI()/4*(B19^2-(B19-2*B15/12)^2)*B17*490/1000*E5)+($H$54/3)</f>
        <v>11.67297123483146</v>
      </c>
      <c r="C30" s="88" t="s">
        <v>193</v>
      </c>
      <c r="D30" s="89" t="s">
        <v>283</v>
      </c>
      <c r="E30" s="90">
        <f>(PI()/4*(E19^2-(E19-2*E15/12)^2)*E17*490/1000*E5)+($H$52/2+$H$54/3)</f>
        <v>12.32898227384929</v>
      </c>
      <c r="F30" s="89" t="s">
        <v>193</v>
      </c>
      <c r="G30" s="86" t="s">
        <v>283</v>
      </c>
      <c r="H30" s="87">
        <f>(PI()/4*(H19^2-(H19-2*H15/12)^2)*H17*490/1000*E5)+($H$52/2+$H$54/3)</f>
        <v>10.508773109387652</v>
      </c>
      <c r="I30" s="88" t="s">
        <v>193</v>
      </c>
      <c r="J30" s="91" t="s">
        <v>283</v>
      </c>
      <c r="K30" s="92">
        <f>PI()/4*(K19^2-(K19-2*K15/12)^2)*K17*490/1000*E5</f>
        <v>0</v>
      </c>
      <c r="L30" s="93" t="s">
        <v>193</v>
      </c>
      <c r="M30" s="94" t="s">
        <v>302</v>
      </c>
      <c r="N30" s="95">
        <f>K30+H30+E30+B30</f>
        <v>34.510726618068404</v>
      </c>
      <c r="O30" s="96" t="s">
        <v>193</v>
      </c>
    </row>
    <row r="31" spans="1:15" ht="18" thickBot="1" x14ac:dyDescent="0.35">
      <c r="A31" s="279" t="s">
        <v>284</v>
      </c>
      <c r="B31" s="280"/>
      <c r="C31" s="281"/>
      <c r="D31" s="282" t="s">
        <v>319</v>
      </c>
      <c r="E31" s="283"/>
      <c r="F31" s="284"/>
      <c r="G31" s="279" t="s">
        <v>319</v>
      </c>
      <c r="H31" s="280"/>
      <c r="I31" s="281"/>
      <c r="J31" s="282" t="s">
        <v>319</v>
      </c>
      <c r="K31" s="283"/>
      <c r="L31" s="284"/>
      <c r="M31" s="97"/>
      <c r="N31" s="98"/>
      <c r="O31" s="99"/>
    </row>
    <row r="32" spans="1:15" ht="18" thickTop="1" x14ac:dyDescent="0.3">
      <c r="A32" s="45" t="s">
        <v>267</v>
      </c>
      <c r="B32" s="46">
        <v>1</v>
      </c>
      <c r="C32" s="47"/>
      <c r="D32" s="48" t="s">
        <v>267</v>
      </c>
      <c r="E32" s="49">
        <v>2</v>
      </c>
      <c r="F32" s="48"/>
      <c r="G32" s="45" t="s">
        <v>267</v>
      </c>
      <c r="H32" s="46">
        <v>3</v>
      </c>
      <c r="I32" s="47"/>
      <c r="J32" s="50" t="s">
        <v>267</v>
      </c>
      <c r="K32" s="49">
        <v>4</v>
      </c>
      <c r="L32" s="51"/>
      <c r="M32" s="97"/>
      <c r="N32" s="98"/>
      <c r="O32" s="99"/>
    </row>
    <row r="33" spans="1:15" x14ac:dyDescent="0.25">
      <c r="A33" s="54" t="s">
        <v>268</v>
      </c>
      <c r="B33" s="55">
        <v>0.3125</v>
      </c>
      <c r="C33" s="56" t="s">
        <v>180</v>
      </c>
      <c r="D33" s="57" t="s">
        <v>268</v>
      </c>
      <c r="E33" s="58">
        <v>0.3125</v>
      </c>
      <c r="F33" s="57" t="s">
        <v>180</v>
      </c>
      <c r="G33" s="54" t="s">
        <v>268</v>
      </c>
      <c r="H33" s="55">
        <v>0.3125</v>
      </c>
      <c r="I33" s="56" t="s">
        <v>180</v>
      </c>
      <c r="J33" s="59" t="s">
        <v>268</v>
      </c>
      <c r="K33" s="58">
        <v>0</v>
      </c>
      <c r="L33" s="60" t="s">
        <v>180</v>
      </c>
      <c r="M33" s="52"/>
      <c r="N33" s="57"/>
      <c r="O33" s="53"/>
    </row>
    <row r="34" spans="1:15" ht="18" x14ac:dyDescent="0.35">
      <c r="A34" s="54" t="s">
        <v>269</v>
      </c>
      <c r="B34" s="61">
        <v>0</v>
      </c>
      <c r="C34" s="56" t="s">
        <v>308</v>
      </c>
      <c r="D34" s="57" t="s">
        <v>269</v>
      </c>
      <c r="E34" s="62">
        <f>B36</f>
        <v>38.054400000000001</v>
      </c>
      <c r="F34" s="57"/>
      <c r="G34" s="54" t="s">
        <v>269</v>
      </c>
      <c r="H34" s="61">
        <f>E36</f>
        <v>73.167400000000001</v>
      </c>
      <c r="I34" s="56" t="s">
        <v>308</v>
      </c>
      <c r="J34" s="59" t="s">
        <v>269</v>
      </c>
      <c r="K34" s="58">
        <v>0</v>
      </c>
      <c r="L34" s="60" t="s">
        <v>308</v>
      </c>
      <c r="M34" s="52"/>
      <c r="N34" s="57"/>
      <c r="O34" s="53"/>
    </row>
    <row r="35" spans="1:15" x14ac:dyDescent="0.25">
      <c r="A35" s="54" t="s">
        <v>285</v>
      </c>
      <c r="B35" s="61">
        <v>38.054400000000001</v>
      </c>
      <c r="C35" s="56" t="s">
        <v>308</v>
      </c>
      <c r="D35" s="57" t="s">
        <v>285</v>
      </c>
      <c r="E35" s="62">
        <v>35.113</v>
      </c>
      <c r="F35" s="57" t="s">
        <v>308</v>
      </c>
      <c r="G35" s="54" t="s">
        <v>285</v>
      </c>
      <c r="H35" s="61">
        <v>25.499300000000002</v>
      </c>
      <c r="I35" s="56" t="s">
        <v>308</v>
      </c>
      <c r="J35" s="59" t="s">
        <v>285</v>
      </c>
      <c r="K35" s="58">
        <v>0</v>
      </c>
      <c r="L35" s="60" t="s">
        <v>308</v>
      </c>
      <c r="M35" s="52"/>
      <c r="N35" s="57"/>
      <c r="O35" s="53"/>
    </row>
    <row r="36" spans="1:15" ht="18" x14ac:dyDescent="0.35">
      <c r="A36" s="54" t="s">
        <v>271</v>
      </c>
      <c r="B36" s="61">
        <f>B34+B35</f>
        <v>38.054400000000001</v>
      </c>
      <c r="C36" s="56" t="s">
        <v>308</v>
      </c>
      <c r="D36" s="57" t="s">
        <v>271</v>
      </c>
      <c r="E36" s="62">
        <f>E34+E35</f>
        <v>73.167400000000001</v>
      </c>
      <c r="F36" s="57"/>
      <c r="G36" s="54" t="s">
        <v>271</v>
      </c>
      <c r="H36" s="61">
        <f>H34+H35</f>
        <v>98.666700000000006</v>
      </c>
      <c r="I36" s="56" t="s">
        <v>308</v>
      </c>
      <c r="J36" s="59" t="s">
        <v>271</v>
      </c>
      <c r="K36" s="58">
        <f>K34+K35</f>
        <v>0</v>
      </c>
      <c r="L36" s="60" t="s">
        <v>308</v>
      </c>
      <c r="M36" s="52"/>
      <c r="N36" s="57"/>
      <c r="O36" s="53"/>
    </row>
    <row r="37" spans="1:15" x14ac:dyDescent="0.25">
      <c r="A37" s="100" t="s">
        <v>286</v>
      </c>
      <c r="B37" s="101">
        <v>3</v>
      </c>
      <c r="C37" s="102" t="s">
        <v>308</v>
      </c>
      <c r="D37" s="103" t="s">
        <v>286</v>
      </c>
      <c r="E37" s="104">
        <v>3</v>
      </c>
      <c r="F37" s="105" t="s">
        <v>308</v>
      </c>
      <c r="G37" s="100" t="s">
        <v>286</v>
      </c>
      <c r="H37" s="101">
        <v>3</v>
      </c>
      <c r="I37" s="102" t="s">
        <v>308</v>
      </c>
      <c r="J37" s="103" t="s">
        <v>286</v>
      </c>
      <c r="K37" s="106">
        <v>0</v>
      </c>
      <c r="L37" s="105" t="s">
        <v>308</v>
      </c>
      <c r="M37" s="52"/>
      <c r="N37" s="57"/>
      <c r="O37" s="53"/>
    </row>
    <row r="38" spans="1:15" ht="18.75" x14ac:dyDescent="0.35">
      <c r="A38" s="107" t="s">
        <v>287</v>
      </c>
      <c r="B38" s="108">
        <f>IF(B33=0,0,B37*B35)</f>
        <v>114.1632</v>
      </c>
      <c r="C38" s="109" t="s">
        <v>311</v>
      </c>
      <c r="D38" s="98" t="s">
        <v>287</v>
      </c>
      <c r="E38" s="110">
        <f>IF(E33=0,0,E37*E35)</f>
        <v>105.339</v>
      </c>
      <c r="F38" s="98" t="s">
        <v>311</v>
      </c>
      <c r="G38" s="107" t="s">
        <v>287</v>
      </c>
      <c r="H38" s="108">
        <f>IF(H33=0,0,H37*H35)</f>
        <v>76.497900000000001</v>
      </c>
      <c r="I38" s="109" t="s">
        <v>311</v>
      </c>
      <c r="J38" s="111" t="s">
        <v>287</v>
      </c>
      <c r="K38" s="112">
        <f>IF(K33=0,0,K37*K35)</f>
        <v>0</v>
      </c>
      <c r="L38" s="113" t="s">
        <v>311</v>
      </c>
      <c r="M38" s="97"/>
      <c r="N38" s="98"/>
      <c r="O38" s="99"/>
    </row>
    <row r="39" spans="1:15" x14ac:dyDescent="0.25">
      <c r="A39" s="107" t="s">
        <v>274</v>
      </c>
      <c r="B39" s="108">
        <f>B34+B35/2</f>
        <v>19.027200000000001</v>
      </c>
      <c r="C39" s="109" t="s">
        <v>308</v>
      </c>
      <c r="D39" s="98" t="s">
        <v>274</v>
      </c>
      <c r="E39" s="110">
        <f>E34+E35/2</f>
        <v>55.610900000000001</v>
      </c>
      <c r="F39" s="98" t="s">
        <v>308</v>
      </c>
      <c r="G39" s="107" t="s">
        <v>274</v>
      </c>
      <c r="H39" s="108">
        <f>H34+H35/2</f>
        <v>85.917050000000003</v>
      </c>
      <c r="I39" s="109" t="s">
        <v>308</v>
      </c>
      <c r="J39" s="111" t="s">
        <v>274</v>
      </c>
      <c r="K39" s="112">
        <f>K34+K35/2</f>
        <v>0</v>
      </c>
      <c r="L39" s="113" t="s">
        <v>308</v>
      </c>
      <c r="M39" s="97"/>
      <c r="N39" s="98"/>
      <c r="O39" s="99"/>
    </row>
    <row r="40" spans="1:15" ht="18" x14ac:dyDescent="0.35">
      <c r="A40" s="107" t="s">
        <v>275</v>
      </c>
      <c r="B40" s="108">
        <f>2.01*(MAX(B34,15)/$B$8)^(2/$B$7)</f>
        <v>1.0302295642273647</v>
      </c>
      <c r="C40" s="109"/>
      <c r="D40" s="98" t="s">
        <v>275</v>
      </c>
      <c r="E40" s="110">
        <f>2.01*(MAX(E34,15)/$B$8)^(2/$B$7)</f>
        <v>1.211293594730521</v>
      </c>
      <c r="F40" s="98"/>
      <c r="G40" s="107" t="s">
        <v>275</v>
      </c>
      <c r="H40" s="108">
        <f>2.01*(MAX(H34,15)/$B$8)^(2/$B$7)</f>
        <v>1.3571428095889007</v>
      </c>
      <c r="I40" s="109"/>
      <c r="J40" s="111" t="s">
        <v>275</v>
      </c>
      <c r="K40" s="112">
        <f>2.01*(MAX(K34,15)/$B$8)^(2/$B$7)</f>
        <v>1.0302295642273647</v>
      </c>
      <c r="L40" s="113"/>
      <c r="M40" s="97"/>
      <c r="N40" s="98"/>
      <c r="O40" s="99"/>
    </row>
    <row r="41" spans="1:15" ht="18" x14ac:dyDescent="0.35">
      <c r="A41" s="107" t="s">
        <v>276</v>
      </c>
      <c r="B41" s="108">
        <f>2.01*(MAX(B36,15)/$B$8)^(2/$B$7)</f>
        <v>1.211293594730521</v>
      </c>
      <c r="C41" s="109"/>
      <c r="D41" s="98" t="s">
        <v>276</v>
      </c>
      <c r="E41" s="110">
        <f>2.01*(MAX(E36,15)/$B$8)^(2/$B$7)</f>
        <v>1.3571428095889007</v>
      </c>
      <c r="F41" s="98"/>
      <c r="G41" s="107" t="s">
        <v>276</v>
      </c>
      <c r="H41" s="108">
        <f>2.01*(MAX(H36,15)/$B$8)^(2/$B$7)</f>
        <v>1.4295807023690281</v>
      </c>
      <c r="I41" s="109"/>
      <c r="J41" s="111" t="s">
        <v>276</v>
      </c>
      <c r="K41" s="112">
        <f>2.01*(MAX(K36,15)/$B$8)^(2/$B$7)</f>
        <v>1.0302295642273647</v>
      </c>
      <c r="L41" s="113"/>
      <c r="M41" s="97"/>
      <c r="N41" s="98"/>
      <c r="O41" s="99"/>
    </row>
    <row r="42" spans="1:15" ht="18" x14ac:dyDescent="0.35">
      <c r="A42" s="107" t="s">
        <v>277</v>
      </c>
      <c r="B42" s="108">
        <f>B12*B40</f>
        <v>21.293213208949894</v>
      </c>
      <c r="C42" s="109" t="s">
        <v>309</v>
      </c>
      <c r="D42" s="98" t="s">
        <v>277</v>
      </c>
      <c r="E42" s="110">
        <f>B12*E40</f>
        <v>25.035519914025816</v>
      </c>
      <c r="F42" s="98" t="s">
        <v>309</v>
      </c>
      <c r="G42" s="107" t="s">
        <v>277</v>
      </c>
      <c r="H42" s="108">
        <f>B12*H40</f>
        <v>28.04999215999219</v>
      </c>
      <c r="I42" s="109" t="s">
        <v>309</v>
      </c>
      <c r="J42" s="111" t="s">
        <v>277</v>
      </c>
      <c r="K42" s="112">
        <f>MAX(K40*$B$12,30*$B$10)</f>
        <v>21.293213208949894</v>
      </c>
      <c r="L42" s="113" t="s">
        <v>309</v>
      </c>
      <c r="M42" s="97"/>
      <c r="N42" s="98"/>
      <c r="O42" s="99"/>
    </row>
    <row r="43" spans="1:15" ht="18" x14ac:dyDescent="0.35">
      <c r="A43" s="107" t="s">
        <v>278</v>
      </c>
      <c r="B43" s="108">
        <f>B12*B41</f>
        <v>25.035519914025816</v>
      </c>
      <c r="C43" s="109" t="s">
        <v>309</v>
      </c>
      <c r="D43" s="98" t="s">
        <v>278</v>
      </c>
      <c r="E43" s="110">
        <f>B12*E41</f>
        <v>28.04999215999219</v>
      </c>
      <c r="F43" s="98" t="s">
        <v>309</v>
      </c>
      <c r="G43" s="107" t="s">
        <v>278</v>
      </c>
      <c r="H43" s="108">
        <f>B12*H41</f>
        <v>29.54716866213526</v>
      </c>
      <c r="I43" s="109" t="s">
        <v>309</v>
      </c>
      <c r="J43" s="111" t="s">
        <v>278</v>
      </c>
      <c r="K43" s="112">
        <f>MAX(K41*$B$12,30*$B$10)</f>
        <v>21.293213208949894</v>
      </c>
      <c r="L43" s="113" t="s">
        <v>309</v>
      </c>
      <c r="M43" s="80"/>
      <c r="N43" s="114"/>
      <c r="O43" s="82"/>
    </row>
    <row r="44" spans="1:15" x14ac:dyDescent="0.25">
      <c r="A44" s="107" t="s">
        <v>279</v>
      </c>
      <c r="B44" s="108">
        <f>MAX(30*B10*B38/1000,B9*B10*(B42+B43)/2*B38/1000)</f>
        <v>2.3974272000000001</v>
      </c>
      <c r="C44" s="109" t="s">
        <v>193</v>
      </c>
      <c r="D44" s="98" t="s">
        <v>279</v>
      </c>
      <c r="E44" s="110">
        <f>MAX(30*B10*E38/1000,B9*B10*(E42+E43)/2*E38/1000)</f>
        <v>2.2121189999999999</v>
      </c>
      <c r="F44" s="98" t="s">
        <v>193</v>
      </c>
      <c r="G44" s="107" t="s">
        <v>279</v>
      </c>
      <c r="H44" s="108">
        <f>MAX(30*B10*H38/1000,B9*B10*(H42+H43)/2*H38/1000)</f>
        <v>1.6064558999999998</v>
      </c>
      <c r="I44" s="109" t="s">
        <v>193</v>
      </c>
      <c r="J44" s="111" t="s">
        <v>279</v>
      </c>
      <c r="K44" s="112">
        <f>(K42+K43)/2*K38/1000</f>
        <v>0</v>
      </c>
      <c r="L44" s="113" t="s">
        <v>193</v>
      </c>
      <c r="M44" s="80" t="s">
        <v>304</v>
      </c>
      <c r="N44" s="81">
        <f>H44+E44+B44+K44</f>
        <v>6.2160020999999999</v>
      </c>
      <c r="O44" s="82" t="s">
        <v>193</v>
      </c>
    </row>
    <row r="45" spans="1:15" x14ac:dyDescent="0.25">
      <c r="A45" s="107" t="s">
        <v>280</v>
      </c>
      <c r="B45" s="108">
        <f>B34+((B42*B35^2/2+2/3*0.5*B35^2*(B43-B42))/(B42*B35+0.5*B35*(B43-B42)))</f>
        <v>19.539521499991601</v>
      </c>
      <c r="C45" s="109" t="s">
        <v>308</v>
      </c>
      <c r="D45" s="98" t="s">
        <v>280</v>
      </c>
      <c r="E45" s="110">
        <f>E34+((E42*E35^2/2+2/3*0.5*E35^2*(E43-E42))/(E42*E35+0.5*E35*(E43-E42)))</f>
        <v>55.94321654562998</v>
      </c>
      <c r="F45" s="98" t="s">
        <v>308</v>
      </c>
      <c r="G45" s="107" t="s">
        <v>280</v>
      </c>
      <c r="H45" s="108">
        <f>H34+((H42*H35^2/2+2/3*0.5*H35^2*(H43-H42))/(H42*H35+0.5*H35*(H43-H42)))</f>
        <v>86.027521165118117</v>
      </c>
      <c r="I45" s="109" t="s">
        <v>308</v>
      </c>
      <c r="J45" s="111" t="s">
        <v>280</v>
      </c>
      <c r="K45" s="112">
        <v>0</v>
      </c>
      <c r="L45" s="113" t="s">
        <v>308</v>
      </c>
      <c r="M45" s="80"/>
      <c r="N45" s="114"/>
      <c r="O45" s="82"/>
    </row>
    <row r="46" spans="1:15" x14ac:dyDescent="0.25">
      <c r="A46" s="73" t="s">
        <v>281</v>
      </c>
      <c r="B46" s="74">
        <f>B45*B44</f>
        <v>46.844580319064669</v>
      </c>
      <c r="C46" s="75" t="s">
        <v>193</v>
      </c>
      <c r="D46" s="83" t="s">
        <v>281</v>
      </c>
      <c r="E46" s="76">
        <f t="shared" ref="E46" si="2">E45*E44</f>
        <v>123.75305224170245</v>
      </c>
      <c r="F46" s="79" t="s">
        <v>193</v>
      </c>
      <c r="G46" s="84" t="s">
        <v>281</v>
      </c>
      <c r="H46" s="74">
        <f t="shared" ref="H46" si="3">H45*H44</f>
        <v>138.19941893807885</v>
      </c>
      <c r="I46" s="75" t="s">
        <v>193</v>
      </c>
      <c r="J46" s="83" t="s">
        <v>281</v>
      </c>
      <c r="K46" s="78">
        <v>0</v>
      </c>
      <c r="L46" s="79" t="s">
        <v>193</v>
      </c>
      <c r="M46" s="80" t="s">
        <v>305</v>
      </c>
      <c r="N46" s="81">
        <f>H46+E46+B46+K46</f>
        <v>308.79705149884597</v>
      </c>
      <c r="O46" s="82" t="s">
        <v>317</v>
      </c>
    </row>
    <row r="47" spans="1:15" x14ac:dyDescent="0.25">
      <c r="A47" s="73" t="s">
        <v>282</v>
      </c>
      <c r="B47" s="74">
        <f>B48*B39</f>
        <v>86.323565467691978</v>
      </c>
      <c r="C47" s="75"/>
      <c r="D47" s="83" t="s">
        <v>282</v>
      </c>
      <c r="E47" s="76">
        <f>E48*E39</f>
        <v>232.79704756281626</v>
      </c>
      <c r="F47" s="33"/>
      <c r="G47" s="84" t="s">
        <v>282</v>
      </c>
      <c r="H47" s="74">
        <f>H48*H39</f>
        <v>261.19040768922594</v>
      </c>
      <c r="I47" s="75"/>
      <c r="J47" s="83" t="s">
        <v>282</v>
      </c>
      <c r="K47" s="78">
        <f>K48*K39</f>
        <v>0</v>
      </c>
      <c r="L47" s="79"/>
      <c r="M47" s="115"/>
      <c r="N47" s="116"/>
      <c r="O47" s="117"/>
    </row>
    <row r="48" spans="1:15" ht="15.75" thickBot="1" x14ac:dyDescent="0.3">
      <c r="A48" s="86" t="s">
        <v>283</v>
      </c>
      <c r="B48" s="87">
        <f>PI()/4*(B37^2-(B37-2*B33/12)^2)*B35*490/1000</f>
        <v>4.5368506909945747</v>
      </c>
      <c r="C48" s="88" t="s">
        <v>193</v>
      </c>
      <c r="D48" s="89" t="s">
        <v>283</v>
      </c>
      <c r="E48" s="90">
        <f>PI()/4*(E37^2-(E37-2*E33/12)^2)*E35*490/1000</f>
        <v>4.1861765870147085</v>
      </c>
      <c r="F48" s="89" t="s">
        <v>193</v>
      </c>
      <c r="G48" s="86" t="s">
        <v>283</v>
      </c>
      <c r="H48" s="87">
        <f>PI()/4*(H37^2-(H37-2*H33/12)^2)*H35*490/1000</f>
        <v>3.0400299787903093</v>
      </c>
      <c r="I48" s="88" t="s">
        <v>193</v>
      </c>
      <c r="J48" s="91" t="s">
        <v>283</v>
      </c>
      <c r="K48" s="92">
        <f>PI()/4*(K37^2-(K37-2*K33/12)^2)*K35*490/1000</f>
        <v>0</v>
      </c>
      <c r="L48" s="93" t="s">
        <v>193</v>
      </c>
      <c r="M48" s="94" t="s">
        <v>302</v>
      </c>
      <c r="N48" s="95">
        <f>H48+E48+B48+K48</f>
        <v>11.763057256799593</v>
      </c>
      <c r="O48" s="96" t="s">
        <v>193</v>
      </c>
    </row>
    <row r="49" spans="1:15" x14ac:dyDescent="0.25">
      <c r="A49" s="33"/>
      <c r="B49" s="34"/>
      <c r="C49" s="33"/>
      <c r="D49" s="33"/>
      <c r="E49" s="34"/>
      <c r="F49" s="33"/>
      <c r="G49" s="33"/>
      <c r="H49" s="34"/>
      <c r="I49" s="33"/>
      <c r="J49" s="33"/>
      <c r="K49" s="34"/>
      <c r="L49" s="33"/>
      <c r="M49" s="33"/>
      <c r="N49" s="33"/>
      <c r="O49" s="33"/>
    </row>
    <row r="50" spans="1:15" ht="15.75" thickBot="1" x14ac:dyDescent="0.3">
      <c r="A50" s="33"/>
      <c r="B50" s="34"/>
      <c r="C50" s="33"/>
      <c r="D50" s="33"/>
      <c r="E50" s="34"/>
      <c r="F50" s="33"/>
      <c r="G50" s="33"/>
      <c r="H50" s="34"/>
      <c r="I50" s="33"/>
      <c r="J50" s="33"/>
      <c r="K50" s="34"/>
      <c r="L50" s="33"/>
      <c r="M50" s="33"/>
      <c r="N50" s="33"/>
      <c r="O50" s="33"/>
    </row>
    <row r="51" spans="1:15" ht="15.75" thickBot="1" x14ac:dyDescent="0.3">
      <c r="A51" s="285" t="s">
        <v>288</v>
      </c>
      <c r="B51" s="286"/>
      <c r="C51" s="287"/>
      <c r="D51" s="57"/>
      <c r="E51" s="57"/>
      <c r="F51" s="57"/>
      <c r="G51" s="288" t="s">
        <v>320</v>
      </c>
      <c r="H51" s="289"/>
      <c r="I51" s="290"/>
      <c r="J51" s="285" t="s">
        <v>326</v>
      </c>
      <c r="K51" s="286"/>
      <c r="L51" s="287"/>
      <c r="M51" s="57"/>
      <c r="N51" s="57"/>
      <c r="O51" s="57"/>
    </row>
    <row r="52" spans="1:15" x14ac:dyDescent="0.25">
      <c r="A52" s="118" t="s">
        <v>289</v>
      </c>
      <c r="B52" s="121" t="s">
        <v>248</v>
      </c>
      <c r="C52" s="120" t="s">
        <v>312</v>
      </c>
      <c r="D52" s="57"/>
      <c r="E52" s="57"/>
      <c r="F52" s="60"/>
      <c r="G52" s="119" t="s">
        <v>321</v>
      </c>
      <c r="H52" s="122">
        <v>2.8628</v>
      </c>
      <c r="I52" s="120" t="s">
        <v>193</v>
      </c>
      <c r="J52" s="57" t="s">
        <v>327</v>
      </c>
      <c r="K52" s="85">
        <v>0</v>
      </c>
      <c r="L52" s="120" t="s">
        <v>193</v>
      </c>
      <c r="M52" s="57"/>
      <c r="N52" s="57"/>
      <c r="O52" s="57"/>
    </row>
    <row r="53" spans="1:15" ht="18" x14ac:dyDescent="0.35">
      <c r="A53" s="59" t="s">
        <v>269</v>
      </c>
      <c r="B53" s="85">
        <v>98.67</v>
      </c>
      <c r="C53" s="60" t="s">
        <v>313</v>
      </c>
      <c r="D53" s="57"/>
      <c r="E53" s="57"/>
      <c r="F53" s="60"/>
      <c r="G53" s="57"/>
      <c r="H53" s="85"/>
      <c r="I53" s="60"/>
      <c r="J53" s="57"/>
      <c r="K53" s="85"/>
      <c r="L53" s="60"/>
      <c r="M53" s="57"/>
      <c r="N53" s="57"/>
      <c r="O53" s="57"/>
    </row>
    <row r="54" spans="1:15" ht="18" x14ac:dyDescent="0.35">
      <c r="A54" s="59" t="s">
        <v>271</v>
      </c>
      <c r="B54" s="85">
        <f>B53+B61</f>
        <v>123.8856</v>
      </c>
      <c r="C54" s="60" t="s">
        <v>308</v>
      </c>
      <c r="D54" s="57"/>
      <c r="E54" s="57"/>
      <c r="F54" s="60"/>
      <c r="G54" s="57" t="s">
        <v>322</v>
      </c>
      <c r="H54" s="85">
        <v>4.9241000000000001</v>
      </c>
      <c r="I54" s="60" t="s">
        <v>193</v>
      </c>
      <c r="J54" s="57" t="s">
        <v>328</v>
      </c>
      <c r="K54" s="85">
        <v>0</v>
      </c>
      <c r="L54" s="60" t="s">
        <v>193</v>
      </c>
      <c r="M54" s="57"/>
      <c r="N54" s="57"/>
      <c r="O54" s="57"/>
    </row>
    <row r="55" spans="1:15" ht="18" x14ac:dyDescent="0.35">
      <c r="A55" s="59" t="s">
        <v>290</v>
      </c>
      <c r="B55" s="85">
        <f>2.01*(MAX(B53,15)/$B$8)^(2/$B$7)</f>
        <v>1.4295890176737636</v>
      </c>
      <c r="C55" s="60"/>
      <c r="D55" s="57"/>
      <c r="E55" s="57"/>
      <c r="F55" s="60"/>
      <c r="G55" s="57"/>
      <c r="H55" s="85"/>
      <c r="I55" s="60"/>
      <c r="J55" s="57"/>
      <c r="K55" s="85"/>
      <c r="L55" s="60"/>
      <c r="M55" s="57"/>
      <c r="N55" s="57"/>
      <c r="O55" s="57"/>
    </row>
    <row r="56" spans="1:15" ht="18" x14ac:dyDescent="0.35">
      <c r="A56" s="59" t="s">
        <v>291</v>
      </c>
      <c r="B56" s="85">
        <f>2.01*(MAX(B54,15)/$B$8)^(2/$B$7)</f>
        <v>1.4873049407388248</v>
      </c>
      <c r="C56" s="60"/>
      <c r="D56" s="57"/>
      <c r="E56" s="57"/>
      <c r="F56" s="60"/>
      <c r="G56" s="57"/>
      <c r="H56" s="85"/>
      <c r="I56" s="60"/>
      <c r="J56" s="57"/>
      <c r="K56" s="85"/>
      <c r="L56" s="60"/>
      <c r="M56" s="57"/>
      <c r="N56" s="57"/>
      <c r="O56" s="57"/>
    </row>
    <row r="57" spans="1:15" ht="18" x14ac:dyDescent="0.35">
      <c r="A57" s="59" t="s">
        <v>292</v>
      </c>
      <c r="B57" s="85">
        <f>B12*B55</f>
        <v>29.547340526312698</v>
      </c>
      <c r="C57" s="60" t="s">
        <v>314</v>
      </c>
      <c r="D57" s="57"/>
      <c r="E57" s="57"/>
      <c r="F57" s="60"/>
      <c r="G57" s="57"/>
      <c r="H57" s="85"/>
      <c r="I57" s="60"/>
      <c r="J57" s="57"/>
      <c r="K57" s="85"/>
      <c r="L57" s="60"/>
      <c r="M57" s="57"/>
      <c r="N57" s="57"/>
      <c r="O57" s="57"/>
    </row>
    <row r="58" spans="1:15" ht="18" x14ac:dyDescent="0.35">
      <c r="A58" s="59" t="s">
        <v>293</v>
      </c>
      <c r="B58" s="85">
        <f>B12*B56</f>
        <v>30.740237234045381</v>
      </c>
      <c r="C58" s="60" t="s">
        <v>314</v>
      </c>
      <c r="D58" s="33"/>
      <c r="E58" s="34"/>
      <c r="F58" s="79"/>
      <c r="G58" s="57"/>
      <c r="H58" s="85"/>
      <c r="I58" s="60"/>
      <c r="J58" s="57"/>
      <c r="K58" s="85"/>
      <c r="L58" s="60"/>
      <c r="M58" s="33"/>
      <c r="N58" s="33"/>
      <c r="O58" s="33"/>
    </row>
    <row r="59" spans="1:15" x14ac:dyDescent="0.25">
      <c r="A59" s="123" t="s">
        <v>279</v>
      </c>
      <c r="B59" s="85">
        <f>MAX(30*B10*B65/1000,B9*B10*(B57+B58)/2*B65/1000)</f>
        <v>12.913599156268699</v>
      </c>
      <c r="C59" s="124" t="s">
        <v>315</v>
      </c>
      <c r="D59" s="33"/>
      <c r="E59" s="34"/>
      <c r="F59" s="79"/>
      <c r="G59" s="85"/>
      <c r="H59" s="85"/>
      <c r="I59" s="124"/>
      <c r="J59" s="85"/>
      <c r="K59" s="85"/>
      <c r="L59" s="124"/>
      <c r="M59" s="33"/>
      <c r="N59" s="33"/>
      <c r="O59" s="33"/>
    </row>
    <row r="60" spans="1:15" x14ac:dyDescent="0.25">
      <c r="A60" s="59" t="s">
        <v>294</v>
      </c>
      <c r="B60" s="85">
        <f>VLOOKUP($B$52,'[1]Tanks Information'!$A$2:$H$8,3,FALSE)+B53</f>
        <v>111.27</v>
      </c>
      <c r="C60" s="60" t="s">
        <v>313</v>
      </c>
      <c r="D60" s="33"/>
      <c r="E60" s="34"/>
      <c r="F60" s="79"/>
      <c r="G60" s="57"/>
      <c r="H60" s="85"/>
      <c r="I60" s="60"/>
      <c r="J60" s="57"/>
      <c r="K60" s="85"/>
      <c r="L60" s="60"/>
      <c r="M60" s="33"/>
      <c r="N60" s="33"/>
      <c r="O60" s="33"/>
    </row>
    <row r="61" spans="1:15" x14ac:dyDescent="0.25">
      <c r="A61" s="59" t="s">
        <v>295</v>
      </c>
      <c r="B61" s="85">
        <f>VLOOKUP($B$52,'[1]Tanks Information'!$A$2:$H$8,4,FALSE)</f>
        <v>25.215599999999998</v>
      </c>
      <c r="C61" s="60" t="s">
        <v>308</v>
      </c>
      <c r="D61" s="33"/>
      <c r="E61" s="34"/>
      <c r="F61" s="79"/>
      <c r="G61" s="57"/>
      <c r="H61" s="85"/>
      <c r="I61" s="60"/>
      <c r="J61" s="57"/>
      <c r="K61" s="85"/>
      <c r="L61" s="60"/>
      <c r="M61" s="33"/>
      <c r="N61" s="33"/>
      <c r="O61" s="33"/>
    </row>
    <row r="62" spans="1:15" x14ac:dyDescent="0.25">
      <c r="A62" s="59" t="s">
        <v>296</v>
      </c>
      <c r="B62" s="85">
        <f>VLOOKUP($B$52,'[1]Tanks Information'!$A$2:$H$8,5,FALSE)</f>
        <v>879</v>
      </c>
      <c r="C62" s="60" t="s">
        <v>315</v>
      </c>
      <c r="D62" s="33"/>
      <c r="E62" s="34"/>
      <c r="F62" s="79"/>
      <c r="G62" s="57"/>
      <c r="H62" s="85"/>
      <c r="I62" s="60"/>
      <c r="J62" s="57"/>
      <c r="K62" s="85"/>
      <c r="L62" s="60"/>
      <c r="M62" s="33"/>
      <c r="N62" s="33"/>
      <c r="O62" s="33"/>
    </row>
    <row r="63" spans="1:15" x14ac:dyDescent="0.25">
      <c r="A63" s="59" t="s">
        <v>297</v>
      </c>
      <c r="B63" s="85">
        <f>VLOOKUP($B$52,'[1]Tanks Information'!$A$2:$H$8,6,FALSE)</f>
        <v>40.386499999999998</v>
      </c>
      <c r="C63" s="60" t="s">
        <v>315</v>
      </c>
      <c r="D63" s="33"/>
      <c r="E63" s="34"/>
      <c r="F63" s="79"/>
      <c r="G63" s="57"/>
      <c r="H63" s="85"/>
      <c r="I63" s="60"/>
      <c r="J63" s="57"/>
      <c r="K63" s="85"/>
      <c r="L63" s="60"/>
      <c r="M63" s="33"/>
      <c r="N63" s="33"/>
      <c r="O63" s="33"/>
    </row>
    <row r="64" spans="1:15" x14ac:dyDescent="0.25">
      <c r="A64" s="59" t="s">
        <v>298</v>
      </c>
      <c r="B64" s="85">
        <f>VLOOKUP($B$52,'[1]Tanks Information'!$A$2:$H$8,7,FALSE)</f>
        <v>919.38649999999996</v>
      </c>
      <c r="C64" s="60" t="s">
        <v>315</v>
      </c>
      <c r="D64" s="33"/>
      <c r="E64" s="34"/>
      <c r="F64" s="79"/>
      <c r="G64" s="57"/>
      <c r="H64" s="85"/>
      <c r="I64" s="60"/>
      <c r="J64" s="57"/>
      <c r="K64" s="85"/>
      <c r="L64" s="60"/>
      <c r="M64" s="33"/>
      <c r="N64" s="33"/>
      <c r="O64" s="33"/>
    </row>
    <row r="65" spans="1:15" ht="17.25" x14ac:dyDescent="0.25">
      <c r="A65" s="59" t="s">
        <v>299</v>
      </c>
      <c r="B65" s="85">
        <f>VLOOKUP($B$52,'[1]Tanks Information'!$A$2:$H$8,8,FALSE)</f>
        <v>612</v>
      </c>
      <c r="C65" s="60" t="s">
        <v>316</v>
      </c>
      <c r="D65" s="33"/>
      <c r="E65" s="34"/>
      <c r="F65" s="79"/>
      <c r="G65" s="98"/>
      <c r="H65" s="125"/>
      <c r="I65" s="113"/>
      <c r="J65" s="98"/>
      <c r="K65" s="125"/>
      <c r="L65" s="113"/>
      <c r="M65" s="33"/>
      <c r="N65" s="33"/>
      <c r="O65" s="33"/>
    </row>
    <row r="66" spans="1:15" ht="15.75" thickBot="1" x14ac:dyDescent="0.3">
      <c r="A66" s="126" t="s">
        <v>300</v>
      </c>
      <c r="B66" s="127">
        <f>B59</f>
        <v>12.913599156268699</v>
      </c>
      <c r="C66" s="128" t="s">
        <v>315</v>
      </c>
      <c r="D66" s="33"/>
      <c r="E66" s="34"/>
      <c r="F66" s="79"/>
      <c r="G66" s="89" t="s">
        <v>323</v>
      </c>
      <c r="H66" s="129">
        <f>SUM(H52:H65)</f>
        <v>7.7869000000000002</v>
      </c>
      <c r="I66" s="93" t="s">
        <v>324</v>
      </c>
      <c r="J66" s="116" t="s">
        <v>323</v>
      </c>
      <c r="K66" s="130">
        <f>SUM(K52:K65)</f>
        <v>0</v>
      </c>
      <c r="L66" s="131" t="s">
        <v>324</v>
      </c>
      <c r="M66" s="33"/>
      <c r="N66" s="33"/>
      <c r="O66" s="33"/>
    </row>
    <row r="67" spans="1:15" ht="15.75" thickBot="1" x14ac:dyDescent="0.3">
      <c r="A67" s="33"/>
      <c r="B67" s="34"/>
      <c r="C67" s="33"/>
      <c r="D67" s="33"/>
      <c r="E67" s="34"/>
      <c r="F67" s="33"/>
      <c r="G67" s="33"/>
      <c r="H67" s="34"/>
      <c r="I67" s="33"/>
      <c r="J67" s="132"/>
      <c r="K67" s="133"/>
      <c r="L67" s="132"/>
      <c r="M67" s="33"/>
      <c r="N67" s="33"/>
      <c r="O67" s="33"/>
    </row>
    <row r="68" spans="1:15" x14ac:dyDescent="0.25">
      <c r="A68" s="134" t="s">
        <v>301</v>
      </c>
      <c r="B68" s="135">
        <f>B62</f>
        <v>879</v>
      </c>
      <c r="C68" s="136" t="s">
        <v>193</v>
      </c>
      <c r="D68" s="33"/>
      <c r="E68" s="34"/>
      <c r="F68" s="33"/>
      <c r="G68" s="33"/>
      <c r="H68" s="34"/>
      <c r="I68" s="33"/>
      <c r="J68" s="33"/>
      <c r="K68" s="34"/>
      <c r="L68" s="33"/>
      <c r="M68" s="33"/>
      <c r="N68" s="33"/>
      <c r="O68" s="33"/>
    </row>
    <row r="69" spans="1:15" ht="15.75" thickBot="1" x14ac:dyDescent="0.3">
      <c r="A69" s="91" t="s">
        <v>302</v>
      </c>
      <c r="B69" s="129">
        <f>B63+N30+N48+K66</f>
        <v>86.660283874868</v>
      </c>
      <c r="C69" s="93" t="s">
        <v>193</v>
      </c>
      <c r="D69" s="33"/>
      <c r="E69" s="34"/>
      <c r="F69" s="33"/>
      <c r="G69" s="33"/>
      <c r="H69" s="34"/>
      <c r="I69" s="33"/>
      <c r="J69" s="33"/>
      <c r="K69" s="34"/>
      <c r="L69" s="33"/>
      <c r="M69" s="33"/>
      <c r="N69" s="33"/>
      <c r="O69" s="33"/>
    </row>
    <row r="70" spans="1:15" ht="15.75" thickBot="1" x14ac:dyDescent="0.3">
      <c r="A70" s="91" t="s">
        <v>298</v>
      </c>
      <c r="B70" s="129">
        <f>B68+B69</f>
        <v>965.66028387486801</v>
      </c>
      <c r="C70" s="137" t="s">
        <v>193</v>
      </c>
      <c r="D70" s="33"/>
      <c r="E70" s="34"/>
      <c r="F70" s="33"/>
      <c r="G70" s="33"/>
      <c r="H70" s="34"/>
      <c r="I70" s="33"/>
      <c r="J70" s="33"/>
      <c r="K70" s="34"/>
      <c r="L70" s="33"/>
      <c r="M70" s="33"/>
      <c r="N70" s="33"/>
      <c r="O70" s="33"/>
    </row>
    <row r="71" spans="1:15" x14ac:dyDescent="0.25">
      <c r="A71" s="116"/>
      <c r="B71" s="138"/>
      <c r="C71" s="116"/>
      <c r="D71" s="33"/>
      <c r="E71" s="34"/>
      <c r="F71" s="33"/>
      <c r="G71" s="33"/>
      <c r="H71" s="34"/>
      <c r="I71" s="33"/>
      <c r="J71" s="33"/>
      <c r="K71" s="34"/>
      <c r="L71" s="33"/>
      <c r="M71" s="33"/>
      <c r="N71" s="33"/>
      <c r="O71" s="33"/>
    </row>
    <row r="72" spans="1:15" ht="15.75" thickBot="1" x14ac:dyDescent="0.3">
      <c r="A72" s="278" t="s">
        <v>303</v>
      </c>
      <c r="B72" s="278"/>
      <c r="C72" s="278"/>
      <c r="D72" s="40"/>
      <c r="E72" s="139"/>
      <c r="F72" s="40"/>
      <c r="G72" s="40"/>
      <c r="H72" s="139"/>
      <c r="I72" s="40"/>
      <c r="J72" s="40"/>
      <c r="K72" s="40"/>
      <c r="L72" s="40"/>
      <c r="M72" s="40"/>
      <c r="N72" s="40"/>
      <c r="O72" s="40"/>
    </row>
    <row r="73" spans="1:15" ht="15.75" thickTop="1" x14ac:dyDescent="0.25">
      <c r="A73" s="77" t="s">
        <v>304</v>
      </c>
      <c r="B73" s="140">
        <f>N26+N44+B66</f>
        <v>34.324197792268698</v>
      </c>
      <c r="C73" s="33" t="s">
        <v>193</v>
      </c>
      <c r="D73" s="141"/>
      <c r="E73" s="139"/>
      <c r="F73" s="40"/>
      <c r="G73" s="40"/>
      <c r="H73" s="139"/>
      <c r="I73" s="40"/>
      <c r="J73" s="40"/>
      <c r="K73" s="40"/>
      <c r="L73" s="40"/>
      <c r="M73" s="40"/>
      <c r="N73" s="40"/>
      <c r="O73" s="40"/>
    </row>
    <row r="74" spans="1:15" ht="15.75" thickBot="1" x14ac:dyDescent="0.3">
      <c r="A74" s="142" t="s">
        <v>305</v>
      </c>
      <c r="B74" s="143">
        <f>N46+N28+B59*B60</f>
        <v>2573.9604645410845</v>
      </c>
      <c r="C74" s="144" t="s">
        <v>317</v>
      </c>
      <c r="D74" s="141"/>
      <c r="E74" s="139"/>
      <c r="F74" s="40"/>
      <c r="G74" s="40"/>
      <c r="H74" s="139"/>
      <c r="I74" s="40"/>
      <c r="J74" s="40"/>
      <c r="K74" s="40"/>
      <c r="L74" s="40"/>
      <c r="M74" s="40"/>
      <c r="N74" s="40"/>
      <c r="O74" s="40"/>
    </row>
    <row r="75" spans="1:15" ht="15.75" thickTop="1" x14ac:dyDescent="0.25"/>
  </sheetData>
  <mergeCells count="14">
    <mergeCell ref="A1:C1"/>
    <mergeCell ref="M1:O1"/>
    <mergeCell ref="A13:C13"/>
    <mergeCell ref="D13:F13"/>
    <mergeCell ref="G13:I13"/>
    <mergeCell ref="J13:L13"/>
    <mergeCell ref="A72:C72"/>
    <mergeCell ref="A31:C31"/>
    <mergeCell ref="D31:F31"/>
    <mergeCell ref="G31:I31"/>
    <mergeCell ref="J31:L31"/>
    <mergeCell ref="A51:C51"/>
    <mergeCell ref="G51:I51"/>
    <mergeCell ref="J51:L51"/>
  </mergeCells>
  <conditionalFormatting sqref="M28:M29">
    <cfRule type="expression" dxfId="1" priority="2">
      <formula>#REF!=0</formula>
    </cfRule>
  </conditionalFormatting>
  <conditionalFormatting sqref="M45:M46">
    <cfRule type="expression" dxfId="0" priority="1">
      <formula>#REF!=0</formula>
    </cfRule>
  </conditionalFormatting>
  <dataValidations count="1">
    <dataValidation type="list" allowBlank="1" showInputMessage="1" showErrorMessage="1" sqref="B6" xr:uid="{A2656FF5-FA42-408D-A376-4ADA883DC781}">
      <formula1>"C,D"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5DE18-2DC1-4726-97B2-1BC8B922072D}">
  <dimension ref="A1:S16"/>
  <sheetViews>
    <sheetView workbookViewId="0">
      <selection activeCell="P21" sqref="P21"/>
    </sheetView>
  </sheetViews>
  <sheetFormatPr defaultRowHeight="15" x14ac:dyDescent="0.25"/>
  <cols>
    <col min="1" max="1" width="19.42578125" bestFit="1" customWidth="1"/>
    <col min="2" max="2" width="8.42578125" bestFit="1" customWidth="1"/>
    <col min="3" max="3" width="7.42578125" bestFit="1" customWidth="1"/>
    <col min="4" max="4" width="8.7109375" customWidth="1"/>
    <col min="5" max="5" width="18.5703125" bestFit="1" customWidth="1"/>
    <col min="6" max="6" width="8.42578125" bestFit="1" customWidth="1"/>
    <col min="7" max="7" width="14.140625" customWidth="1"/>
    <col min="8" max="8" width="8.7109375" customWidth="1"/>
    <col min="11" max="11" width="7.7109375" bestFit="1" customWidth="1"/>
    <col min="12" max="12" width="11.42578125" customWidth="1"/>
  </cols>
  <sheetData>
    <row r="1" spans="1:19" ht="15.75" thickBot="1" x14ac:dyDescent="0.3">
      <c r="A1" s="299" t="s">
        <v>346</v>
      </c>
      <c r="B1" s="300"/>
      <c r="C1" s="300"/>
      <c r="D1" s="145"/>
      <c r="E1" s="299" t="s">
        <v>347</v>
      </c>
      <c r="F1" s="300"/>
      <c r="G1" s="301"/>
      <c r="H1" s="146"/>
      <c r="I1" s="302" t="s">
        <v>348</v>
      </c>
      <c r="J1" s="303"/>
      <c r="K1" s="304"/>
      <c r="L1" s="147"/>
      <c r="M1" s="299" t="s">
        <v>349</v>
      </c>
      <c r="N1" s="300"/>
      <c r="O1" s="300"/>
      <c r="P1" s="300"/>
      <c r="Q1" s="28" t="s">
        <v>350</v>
      </c>
      <c r="R1" s="148"/>
      <c r="S1" s="29" t="s">
        <v>351</v>
      </c>
    </row>
    <row r="2" spans="1:19" ht="15.75" thickBot="1" x14ac:dyDescent="0.3">
      <c r="A2" s="77" t="s">
        <v>352</v>
      </c>
      <c r="B2" s="149">
        <v>32</v>
      </c>
      <c r="C2" s="33" t="s">
        <v>308</v>
      </c>
      <c r="D2" s="145"/>
      <c r="E2" s="150" t="s">
        <v>353</v>
      </c>
      <c r="F2" s="33">
        <v>15</v>
      </c>
      <c r="G2" s="79" t="s">
        <v>309</v>
      </c>
      <c r="H2" s="33"/>
      <c r="I2" s="151" t="s">
        <v>348</v>
      </c>
      <c r="J2" s="33">
        <v>0</v>
      </c>
      <c r="K2" s="33" t="s">
        <v>193</v>
      </c>
      <c r="L2" s="147"/>
      <c r="M2" s="185" t="s">
        <v>306</v>
      </c>
      <c r="N2" s="164"/>
      <c r="O2" s="164"/>
      <c r="P2" s="186"/>
      <c r="Q2" s="189">
        <f>'[1]Wind and Seismic'!B70</f>
        <v>965.66028387486801</v>
      </c>
      <c r="R2" s="192"/>
      <c r="S2" s="195">
        <v>0</v>
      </c>
    </row>
    <row r="3" spans="1:19" ht="17.25" x14ac:dyDescent="0.25">
      <c r="A3" s="77" t="s">
        <v>354</v>
      </c>
      <c r="B3" s="149">
        <v>6.6436999999999999</v>
      </c>
      <c r="C3" s="79"/>
      <c r="D3" s="33"/>
      <c r="E3" s="154" t="s">
        <v>355</v>
      </c>
      <c r="F3" s="155">
        <f>B4</f>
        <v>667.89757160494423</v>
      </c>
      <c r="G3" s="156" t="s">
        <v>356</v>
      </c>
      <c r="H3" s="157"/>
      <c r="I3" s="158"/>
      <c r="J3" s="159"/>
      <c r="K3" s="159"/>
      <c r="L3" s="153"/>
      <c r="M3" s="152" t="s">
        <v>357</v>
      </c>
      <c r="N3" s="153"/>
      <c r="O3" s="153"/>
      <c r="P3" s="187"/>
      <c r="Q3" s="190">
        <f>'[1]Wind and Seismic'!B70+J2</f>
        <v>965.66028387486801</v>
      </c>
      <c r="R3" s="193"/>
      <c r="S3" s="145">
        <v>0</v>
      </c>
    </row>
    <row r="4" spans="1:19" ht="18" thickBot="1" x14ac:dyDescent="0.3">
      <c r="A4" s="77" t="s">
        <v>355</v>
      </c>
      <c r="B4" s="140">
        <f>PI()*B2*B3</f>
        <v>667.89757160494423</v>
      </c>
      <c r="C4" s="79" t="s">
        <v>310</v>
      </c>
      <c r="D4" s="33"/>
      <c r="E4" s="160" t="s">
        <v>347</v>
      </c>
      <c r="F4" s="161">
        <f>F2*F3/1000</f>
        <v>10.018463574074163</v>
      </c>
      <c r="G4" s="162" t="s">
        <v>193</v>
      </c>
      <c r="H4" s="33"/>
      <c r="I4" s="150"/>
      <c r="J4" s="33"/>
      <c r="K4" s="33"/>
      <c r="L4" s="153"/>
      <c r="M4" s="152" t="s">
        <v>358</v>
      </c>
      <c r="N4" s="153"/>
      <c r="O4" s="153"/>
      <c r="P4" s="187"/>
      <c r="Q4" s="190">
        <f>'[1]Wind and Seismic'!B70+(MAX(B11,F4))</f>
        <v>979.12509891842365</v>
      </c>
      <c r="R4" s="193"/>
      <c r="S4" s="145">
        <v>0</v>
      </c>
    </row>
    <row r="5" spans="1:19" x14ac:dyDescent="0.25">
      <c r="A5" s="77" t="s">
        <v>359</v>
      </c>
      <c r="B5" s="33">
        <v>25</v>
      </c>
      <c r="C5" s="79" t="s">
        <v>309</v>
      </c>
      <c r="D5" s="33"/>
      <c r="E5" s="163"/>
      <c r="F5" s="153"/>
      <c r="G5" s="164"/>
      <c r="H5" s="153"/>
      <c r="I5" s="150"/>
      <c r="J5" s="153"/>
      <c r="K5" s="153"/>
      <c r="L5" s="153"/>
      <c r="M5" s="152" t="s">
        <v>360</v>
      </c>
      <c r="N5" s="153"/>
      <c r="O5" s="153"/>
      <c r="P5" s="187"/>
      <c r="Q5" s="190">
        <f>'[1]Wind and Seismic'!B70+0.75*J2+0.75*(MAX(B11,F4))</f>
        <v>975.75889515753477</v>
      </c>
      <c r="R5" s="193"/>
      <c r="S5" s="145">
        <v>0</v>
      </c>
    </row>
    <row r="6" spans="1:19" x14ac:dyDescent="0.25">
      <c r="A6" s="33" t="s">
        <v>361</v>
      </c>
      <c r="B6" s="33" t="s">
        <v>306</v>
      </c>
      <c r="C6" s="79"/>
      <c r="D6" s="33"/>
      <c r="E6" s="150"/>
      <c r="F6" s="153"/>
      <c r="G6" s="153"/>
      <c r="H6" s="153"/>
      <c r="I6" s="150"/>
      <c r="J6" s="153"/>
      <c r="K6" s="153"/>
      <c r="L6" s="153"/>
      <c r="M6" s="152" t="s">
        <v>362</v>
      </c>
      <c r="N6" s="153"/>
      <c r="O6" s="153"/>
      <c r="P6" s="187"/>
      <c r="Q6" s="190">
        <f>'[1]Wind and Seismic'!B70</f>
        <v>965.66028387486801</v>
      </c>
      <c r="R6" s="193"/>
      <c r="S6" s="190">
        <f>0.6*(MAX('[1]Wind and Seismic'!B74,'[1]Wind and Seismic'!N16))</f>
        <v>3403.381333087676</v>
      </c>
    </row>
    <row r="7" spans="1:19" ht="18" x14ac:dyDescent="0.35">
      <c r="A7" s="165" t="s">
        <v>363</v>
      </c>
      <c r="B7" s="33">
        <f>IF(B6="C",0.9,0.8)</f>
        <v>0.8</v>
      </c>
      <c r="C7" s="79"/>
      <c r="D7" s="33"/>
      <c r="E7" s="150"/>
      <c r="F7" s="153"/>
      <c r="G7" s="153"/>
      <c r="H7" s="153"/>
      <c r="I7" s="150"/>
      <c r="J7" s="153"/>
      <c r="K7" s="153"/>
      <c r="L7" s="153"/>
      <c r="M7" s="152" t="s">
        <v>364</v>
      </c>
      <c r="N7" s="153"/>
      <c r="O7" s="153"/>
      <c r="P7" s="187"/>
      <c r="Q7" s="190">
        <f>'[1]Wind and Seismic'!B70+(0.75*J2)+(0.75*(MAX(B11,F4)))</f>
        <v>975.75889515753477</v>
      </c>
      <c r="R7" s="193"/>
      <c r="S7" s="190">
        <f>0.45*(MAX('[1]Wind and Seismic'!B74,'[1]Wind and Seismic'!N16))</f>
        <v>2552.5359998157574</v>
      </c>
    </row>
    <row r="8" spans="1:19" ht="18.75" thickBot="1" x14ac:dyDescent="0.4">
      <c r="A8" s="165" t="s">
        <v>365</v>
      </c>
      <c r="B8" s="33">
        <v>1.2</v>
      </c>
      <c r="C8" s="79"/>
      <c r="D8" s="33"/>
      <c r="E8" s="150"/>
      <c r="F8" s="153"/>
      <c r="G8" s="153"/>
      <c r="H8" s="153"/>
      <c r="I8" s="150"/>
      <c r="J8" s="153"/>
      <c r="K8" s="153"/>
      <c r="L8" s="153"/>
      <c r="M8" s="171" t="s">
        <v>366</v>
      </c>
      <c r="N8" s="172"/>
      <c r="O8" s="172"/>
      <c r="P8" s="188"/>
      <c r="Q8" s="191">
        <f>0.6*'[1]Wind and Seismic'!B70</f>
        <v>579.39617032492083</v>
      </c>
      <c r="R8" s="194"/>
      <c r="S8" s="191">
        <f>0.6*(MAX('[1]Wind and Seismic'!B74,'[1]Wind and Seismic'!N16))</f>
        <v>3403.381333087676</v>
      </c>
    </row>
    <row r="9" spans="1:19" x14ac:dyDescent="0.25">
      <c r="A9" s="33" t="s">
        <v>367</v>
      </c>
      <c r="B9" s="33" t="s">
        <v>368</v>
      </c>
      <c r="C9" s="79"/>
      <c r="D9" s="33"/>
      <c r="E9" s="150"/>
      <c r="F9" s="153"/>
      <c r="G9" s="153"/>
      <c r="H9" s="153"/>
      <c r="I9" s="150"/>
      <c r="J9" s="153"/>
      <c r="K9" s="153"/>
      <c r="L9" s="153"/>
    </row>
    <row r="10" spans="1:19" ht="18" x14ac:dyDescent="0.35">
      <c r="A10" s="165" t="s">
        <v>369</v>
      </c>
      <c r="B10" s="33">
        <f>IF(B9="RC II",1,IF(B9="RC III",1.1,1.2))</f>
        <v>1.2</v>
      </c>
      <c r="C10" s="79"/>
      <c r="D10" s="153"/>
      <c r="E10" s="150"/>
      <c r="F10" s="153"/>
      <c r="G10" s="153"/>
      <c r="H10" s="153"/>
      <c r="I10" s="150"/>
      <c r="J10" s="153"/>
      <c r="K10" s="153"/>
      <c r="L10" s="153"/>
    </row>
    <row r="11" spans="1:19" ht="15.75" thickBot="1" x14ac:dyDescent="0.3">
      <c r="A11" s="166" t="s">
        <v>370</v>
      </c>
      <c r="B11" s="161">
        <f>0.7*B4*B5*B7*B8*B10/1000</f>
        <v>13.464815043555673</v>
      </c>
      <c r="C11" s="162" t="s">
        <v>193</v>
      </c>
      <c r="D11" s="153"/>
      <c r="E11" s="150"/>
      <c r="F11" s="153"/>
      <c r="G11" s="153"/>
      <c r="H11" s="153"/>
      <c r="I11" s="150"/>
      <c r="J11" s="153"/>
      <c r="K11" s="153"/>
      <c r="L11" s="153"/>
    </row>
    <row r="12" spans="1:19" x14ac:dyDescent="0.25">
      <c r="A12" s="33"/>
      <c r="B12" s="33"/>
      <c r="C12" s="33"/>
      <c r="D12" s="33"/>
      <c r="E12" s="150"/>
      <c r="F12" s="153"/>
      <c r="G12" s="153"/>
      <c r="H12" s="153"/>
      <c r="I12" s="150"/>
      <c r="J12" s="153"/>
      <c r="K12" s="153"/>
      <c r="L12" s="153"/>
    </row>
    <row r="13" spans="1:19" ht="15.75" thickBot="1" x14ac:dyDescent="0.3">
      <c r="A13" s="33"/>
      <c r="B13" s="33"/>
      <c r="C13" s="33"/>
      <c r="D13" s="33"/>
      <c r="E13" s="150"/>
      <c r="F13" s="153"/>
      <c r="G13" s="153"/>
      <c r="H13" s="153"/>
      <c r="I13" s="150"/>
      <c r="J13" s="153"/>
      <c r="K13" s="153"/>
      <c r="L13" s="153"/>
    </row>
    <row r="14" spans="1:19" ht="15.75" thickBot="1" x14ac:dyDescent="0.3">
      <c r="A14" s="305" t="s">
        <v>366</v>
      </c>
      <c r="B14" s="306"/>
      <c r="C14" s="307"/>
      <c r="D14" s="153"/>
      <c r="E14" s="305" t="s">
        <v>364</v>
      </c>
      <c r="F14" s="306"/>
      <c r="G14" s="307"/>
      <c r="H14" s="153"/>
      <c r="I14" s="308" t="s">
        <v>362</v>
      </c>
      <c r="J14" s="309"/>
      <c r="K14" s="309"/>
      <c r="L14" s="310"/>
    </row>
    <row r="15" spans="1:19" x14ac:dyDescent="0.25">
      <c r="A15" s="173">
        <f>Q8</f>
        <v>579.39617032492083</v>
      </c>
      <c r="B15" s="174" t="s">
        <v>193</v>
      </c>
      <c r="C15" s="175"/>
      <c r="D15" s="153"/>
      <c r="E15" s="179">
        <f>Q7</f>
        <v>975.75889515753477</v>
      </c>
      <c r="F15" s="180" t="s">
        <v>193</v>
      </c>
      <c r="G15" s="181"/>
      <c r="H15" s="153"/>
      <c r="I15" s="311">
        <f>Q6</f>
        <v>965.66028387486801</v>
      </c>
      <c r="J15" s="312"/>
      <c r="K15" s="180" t="s">
        <v>193</v>
      </c>
      <c r="L15" s="181"/>
    </row>
    <row r="16" spans="1:19" ht="15.75" thickBot="1" x14ac:dyDescent="0.3">
      <c r="A16" s="176">
        <f>S8</f>
        <v>3403.381333087676</v>
      </c>
      <c r="B16" s="177" t="s">
        <v>371</v>
      </c>
      <c r="C16" s="178"/>
      <c r="D16" s="167"/>
      <c r="E16" s="182">
        <f>S7</f>
        <v>2552.5359998157574</v>
      </c>
      <c r="F16" s="183" t="s">
        <v>371</v>
      </c>
      <c r="G16" s="184"/>
      <c r="H16" s="153"/>
      <c r="I16" s="297">
        <f>S6</f>
        <v>3403.381333087676</v>
      </c>
      <c r="J16" s="298"/>
      <c r="K16" s="183" t="s">
        <v>371</v>
      </c>
      <c r="L16" s="184"/>
    </row>
  </sheetData>
  <mergeCells count="9">
    <mergeCell ref="I16:J16"/>
    <mergeCell ref="A1:C1"/>
    <mergeCell ref="E1:G1"/>
    <mergeCell ref="I1:K1"/>
    <mergeCell ref="M1:P1"/>
    <mergeCell ref="A14:C14"/>
    <mergeCell ref="E14:G14"/>
    <mergeCell ref="I14:L14"/>
    <mergeCell ref="I15:J15"/>
  </mergeCells>
  <dataValidations count="2">
    <dataValidation type="list" allowBlank="1" showInputMessage="1" showErrorMessage="1" sqref="L12 B9" xr:uid="{573707E3-8CF5-44D2-AE0A-89146D0A7E96}">
      <formula1>"RC II,RC III,RC IV"</formula1>
    </dataValidation>
    <dataValidation type="list" allowBlank="1" showInputMessage="1" showErrorMessage="1" sqref="B6" xr:uid="{1C5E6D8B-6A06-4D58-A1FD-13CCE1D747C1}">
      <formula1>"C,D"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S44"/>
  <sheetViews>
    <sheetView tabSelected="1" zoomScaleNormal="100" workbookViewId="0">
      <selection activeCell="M2" sqref="M2"/>
    </sheetView>
  </sheetViews>
  <sheetFormatPr defaultRowHeight="15" x14ac:dyDescent="0.25"/>
  <cols>
    <col min="1" max="1" width="34" customWidth="1"/>
    <col min="2" max="2" width="16" customWidth="1"/>
    <col min="3" max="3" width="0.85546875" customWidth="1"/>
    <col min="4" max="5" width="12" hidden="1" customWidth="1"/>
    <col min="6" max="6" width="18" customWidth="1"/>
    <col min="7" max="8" width="12" customWidth="1"/>
  </cols>
  <sheetData>
    <row r="1" spans="1:8" ht="27.95" customHeight="1" x14ac:dyDescent="0.25">
      <c r="A1" s="324" t="s">
        <v>71</v>
      </c>
      <c r="B1" s="325"/>
      <c r="C1" s="325"/>
      <c r="D1" s="325"/>
      <c r="E1" s="325"/>
      <c r="F1" s="325"/>
      <c r="G1" s="325"/>
      <c r="H1" s="325"/>
    </row>
    <row r="3" spans="1:8" x14ac:dyDescent="0.25">
      <c r="A3" s="332" t="s">
        <v>72</v>
      </c>
      <c r="B3" s="325"/>
      <c r="C3" s="325"/>
      <c r="D3" s="325"/>
      <c r="E3" s="325"/>
      <c r="F3" s="325"/>
      <c r="G3" s="325"/>
      <c r="H3" s="325"/>
    </row>
    <row r="4" spans="1:8" x14ac:dyDescent="0.25">
      <c r="A4" s="1" t="s">
        <v>73</v>
      </c>
      <c r="B4" s="318" t="s">
        <v>385</v>
      </c>
      <c r="C4" s="314"/>
      <c r="D4" s="314"/>
      <c r="E4" s="314"/>
      <c r="F4" s="314"/>
      <c r="G4" s="314"/>
      <c r="H4" s="315"/>
    </row>
    <row r="5" spans="1:8" x14ac:dyDescent="0.25">
      <c r="A5" s="1" t="s">
        <v>74</v>
      </c>
      <c r="B5" s="318" t="s">
        <v>376</v>
      </c>
      <c r="C5" s="314"/>
      <c r="D5" s="314"/>
      <c r="E5" s="314"/>
      <c r="F5" s="314"/>
      <c r="G5" s="314"/>
      <c r="H5" s="315"/>
    </row>
    <row r="6" spans="1:8" x14ac:dyDescent="0.25">
      <c r="A6" s="1" t="s">
        <v>75</v>
      </c>
      <c r="B6" s="318" t="s">
        <v>76</v>
      </c>
      <c r="C6" s="314"/>
      <c r="D6" s="314"/>
      <c r="E6" s="314"/>
      <c r="F6" s="314"/>
      <c r="G6" s="314"/>
      <c r="H6" s="315"/>
    </row>
    <row r="7" spans="1:8" ht="15.75" thickBot="1" x14ac:dyDescent="0.3"/>
    <row r="8" spans="1:8" x14ac:dyDescent="0.25">
      <c r="A8" s="328" t="s">
        <v>77</v>
      </c>
      <c r="B8" s="329"/>
      <c r="C8" s="329"/>
      <c r="D8" s="329"/>
      <c r="E8" s="329"/>
      <c r="F8" s="329"/>
      <c r="G8" s="329"/>
      <c r="H8" s="330"/>
    </row>
    <row r="9" spans="1:8" x14ac:dyDescent="0.25">
      <c r="A9" s="313" t="s">
        <v>78</v>
      </c>
      <c r="B9" s="314"/>
      <c r="C9" s="314"/>
      <c r="D9" s="314"/>
      <c r="E9" s="315"/>
      <c r="F9" s="319">
        <v>4000</v>
      </c>
      <c r="G9" s="314"/>
      <c r="H9" s="317"/>
    </row>
    <row r="10" spans="1:8" x14ac:dyDescent="0.25">
      <c r="A10" s="313" t="s">
        <v>79</v>
      </c>
      <c r="B10" s="314"/>
      <c r="C10" s="314"/>
      <c r="D10" s="314"/>
      <c r="E10" s="315"/>
      <c r="F10" s="319">
        <v>60000</v>
      </c>
      <c r="G10" s="314"/>
      <c r="H10" s="317"/>
    </row>
    <row r="11" spans="1:8" x14ac:dyDescent="0.25">
      <c r="A11" s="313" t="s">
        <v>80</v>
      </c>
      <c r="B11" s="314"/>
      <c r="C11" s="314"/>
      <c r="D11" s="314"/>
      <c r="E11" s="315"/>
      <c r="F11" s="319">
        <v>150</v>
      </c>
      <c r="G11" s="314"/>
      <c r="H11" s="317"/>
    </row>
    <row r="12" spans="1:8" x14ac:dyDescent="0.25">
      <c r="A12" s="313" t="s">
        <v>81</v>
      </c>
      <c r="B12" s="314"/>
      <c r="C12" s="314"/>
      <c r="D12" s="314"/>
      <c r="E12" s="315"/>
      <c r="F12" s="319">
        <v>490</v>
      </c>
      <c r="G12" s="314"/>
      <c r="H12" s="317"/>
    </row>
    <row r="13" spans="1:8" x14ac:dyDescent="0.25">
      <c r="A13" s="313" t="s">
        <v>82</v>
      </c>
      <c r="B13" s="314"/>
      <c r="C13" s="314"/>
      <c r="D13" s="314"/>
      <c r="E13" s="315"/>
      <c r="F13" s="316" t="s">
        <v>83</v>
      </c>
      <c r="G13" s="314"/>
      <c r="H13" s="317"/>
    </row>
    <row r="14" spans="1:8" ht="30" x14ac:dyDescent="0.25">
      <c r="A14" s="313" t="s">
        <v>84</v>
      </c>
      <c r="B14" s="314"/>
      <c r="C14" s="314"/>
      <c r="D14" s="314"/>
      <c r="E14" s="315"/>
      <c r="F14" s="333">
        <v>29000000</v>
      </c>
      <c r="G14" s="315"/>
      <c r="H14" s="247" t="s">
        <v>85</v>
      </c>
    </row>
    <row r="15" spans="1:8" ht="30.75" thickBot="1" x14ac:dyDescent="0.3">
      <c r="A15" s="320" t="s">
        <v>86</v>
      </c>
      <c r="B15" s="321"/>
      <c r="C15" s="321"/>
      <c r="D15" s="321"/>
      <c r="E15" s="322"/>
      <c r="F15" s="331">
        <f>IF(F11&gt;135,1,IF(F11&lt;=100,0.75,MIN(1,0.0075*F11)))</f>
        <v>1</v>
      </c>
      <c r="G15" s="322"/>
      <c r="H15" s="248" t="s">
        <v>87</v>
      </c>
    </row>
    <row r="16" spans="1:8" ht="15.75" thickBot="1" x14ac:dyDescent="0.3">
      <c r="A16" s="328" t="s">
        <v>88</v>
      </c>
      <c r="B16" s="329"/>
      <c r="C16" s="329"/>
      <c r="D16" s="329"/>
      <c r="E16" s="329"/>
      <c r="F16" s="329"/>
      <c r="G16" s="329"/>
      <c r="H16" s="330"/>
    </row>
    <row r="17" spans="1:8" x14ac:dyDescent="0.25">
      <c r="A17" s="337" t="s">
        <v>89</v>
      </c>
      <c r="B17" s="335"/>
      <c r="C17" s="335"/>
      <c r="D17" s="335"/>
      <c r="E17" s="338"/>
      <c r="F17" s="334">
        <v>4000</v>
      </c>
      <c r="G17" s="335"/>
      <c r="H17" s="336"/>
    </row>
    <row r="18" spans="1:8" x14ac:dyDescent="0.25">
      <c r="A18" s="313" t="s">
        <v>90</v>
      </c>
      <c r="B18" s="314"/>
      <c r="C18" s="314"/>
      <c r="D18" s="314"/>
      <c r="E18" s="315"/>
      <c r="F18" s="323">
        <v>120</v>
      </c>
      <c r="G18" s="314"/>
      <c r="H18" s="317"/>
    </row>
    <row r="19" spans="1:8" x14ac:dyDescent="0.25">
      <c r="A19" s="313" t="s">
        <v>91</v>
      </c>
      <c r="B19" s="314"/>
      <c r="C19" s="314"/>
      <c r="D19" s="314"/>
      <c r="E19" s="315"/>
      <c r="F19" s="323">
        <v>4</v>
      </c>
      <c r="G19" s="314"/>
      <c r="H19" s="317"/>
    </row>
    <row r="20" spans="1:8" x14ac:dyDescent="0.25">
      <c r="A20" s="313" t="s">
        <v>92</v>
      </c>
      <c r="B20" s="314"/>
      <c r="C20" s="314"/>
      <c r="D20" s="314"/>
      <c r="E20" s="315"/>
      <c r="F20" s="323">
        <v>0.5</v>
      </c>
      <c r="G20" s="314"/>
      <c r="H20" s="317"/>
    </row>
    <row r="21" spans="1:8" ht="15.75" thickBot="1" x14ac:dyDescent="0.3">
      <c r="A21" s="320" t="s">
        <v>93</v>
      </c>
      <c r="B21" s="321"/>
      <c r="C21" s="321"/>
      <c r="D21" s="321"/>
      <c r="E21" s="322"/>
      <c r="F21" s="326" t="s">
        <v>94</v>
      </c>
      <c r="G21" s="321"/>
      <c r="H21" s="327"/>
    </row>
    <row r="24" spans="1:8" ht="15.75" thickBot="1" x14ac:dyDescent="0.3"/>
    <row r="25" spans="1:8" x14ac:dyDescent="0.25">
      <c r="A25" s="328" t="s">
        <v>95</v>
      </c>
      <c r="B25" s="329"/>
      <c r="C25" s="329"/>
      <c r="D25" s="329"/>
      <c r="E25" s="329"/>
      <c r="F25" s="329"/>
      <c r="G25" s="329"/>
      <c r="H25" s="330"/>
    </row>
    <row r="26" spans="1:8" x14ac:dyDescent="0.25">
      <c r="A26" s="313" t="s">
        <v>96</v>
      </c>
      <c r="B26" s="314"/>
      <c r="C26" s="314"/>
      <c r="D26" s="314"/>
      <c r="E26" s="315"/>
      <c r="F26" s="323">
        <v>10000</v>
      </c>
      <c r="G26" s="314"/>
      <c r="H26" s="317"/>
    </row>
    <row r="27" spans="1:8" x14ac:dyDescent="0.25">
      <c r="A27" s="313" t="s">
        <v>97</v>
      </c>
      <c r="B27" s="314"/>
      <c r="C27" s="314"/>
      <c r="D27" s="314"/>
      <c r="E27" s="315"/>
      <c r="F27" s="323">
        <v>62.4</v>
      </c>
      <c r="G27" s="314"/>
      <c r="H27" s="317"/>
    </row>
    <row r="28" spans="1:8" x14ac:dyDescent="0.25">
      <c r="A28" s="313" t="s">
        <v>98</v>
      </c>
      <c r="B28" s="314"/>
      <c r="C28" s="314"/>
      <c r="D28" s="314"/>
      <c r="E28" s="315"/>
      <c r="F28" s="323">
        <v>40</v>
      </c>
      <c r="G28" s="314"/>
      <c r="H28" s="317"/>
    </row>
    <row r="29" spans="1:8" x14ac:dyDescent="0.25">
      <c r="A29" s="313" t="s">
        <v>99</v>
      </c>
      <c r="B29" s="314"/>
      <c r="C29" s="314"/>
      <c r="D29" s="314"/>
      <c r="E29" s="315"/>
      <c r="F29" s="316">
        <v>0</v>
      </c>
      <c r="G29" s="314"/>
      <c r="H29" s="317"/>
    </row>
    <row r="30" spans="1:8" x14ac:dyDescent="0.25">
      <c r="A30" s="313" t="s">
        <v>100</v>
      </c>
      <c r="B30" s="314"/>
      <c r="C30" s="314"/>
      <c r="D30" s="314"/>
      <c r="E30" s="315"/>
      <c r="F30" s="340">
        <f>'Loads '!B11</f>
        <v>13.464815043555673</v>
      </c>
      <c r="G30" s="314"/>
      <c r="H30" s="317"/>
    </row>
    <row r="31" spans="1:8" x14ac:dyDescent="0.25">
      <c r="A31" s="313" t="s">
        <v>101</v>
      </c>
      <c r="B31" s="314"/>
      <c r="C31" s="314"/>
      <c r="D31" s="314"/>
      <c r="E31" s="315"/>
      <c r="F31" s="340">
        <f>'Wind and Seismic'!B73</f>
        <v>34.324197792268698</v>
      </c>
      <c r="G31" s="314"/>
      <c r="H31" s="317"/>
    </row>
    <row r="32" spans="1:8" x14ac:dyDescent="0.25">
      <c r="A32" s="313" t="s">
        <v>102</v>
      </c>
      <c r="B32" s="314"/>
      <c r="C32" s="314"/>
      <c r="D32" s="314"/>
      <c r="E32" s="315"/>
      <c r="F32" s="316">
        <f>'Wind and Seismic'!N14</f>
        <v>108.46646939001788</v>
      </c>
      <c r="G32" s="314"/>
      <c r="H32" s="317"/>
    </row>
    <row r="33" spans="1:19" ht="15.75" thickBot="1" x14ac:dyDescent="0.3">
      <c r="A33" s="320" t="s">
        <v>103</v>
      </c>
      <c r="B33" s="321"/>
      <c r="C33" s="321"/>
      <c r="D33" s="321"/>
      <c r="E33" s="322"/>
      <c r="F33" s="339">
        <f>'Loads '!E15</f>
        <v>975.75889515753477</v>
      </c>
      <c r="G33" s="321"/>
      <c r="H33" s="327"/>
    </row>
    <row r="44" spans="1:19" x14ac:dyDescent="0.25">
      <c r="S44" t="s">
        <v>372</v>
      </c>
    </row>
  </sheetData>
  <mergeCells count="48">
    <mergeCell ref="A33:E33"/>
    <mergeCell ref="F17:H17"/>
    <mergeCell ref="A18:E18"/>
    <mergeCell ref="A26:E26"/>
    <mergeCell ref="A8:H8"/>
    <mergeCell ref="A17:E17"/>
    <mergeCell ref="F10:H10"/>
    <mergeCell ref="F28:H28"/>
    <mergeCell ref="A11:E11"/>
    <mergeCell ref="F13:H13"/>
    <mergeCell ref="A29:E29"/>
    <mergeCell ref="F33:H33"/>
    <mergeCell ref="F29:H29"/>
    <mergeCell ref="F30:H30"/>
    <mergeCell ref="A32:E32"/>
    <mergeCell ref="F31:H31"/>
    <mergeCell ref="A1:H1"/>
    <mergeCell ref="B5:H5"/>
    <mergeCell ref="F21:H21"/>
    <mergeCell ref="F20:H20"/>
    <mergeCell ref="F26:H26"/>
    <mergeCell ref="A14:E14"/>
    <mergeCell ref="F11:H11"/>
    <mergeCell ref="B4:H4"/>
    <mergeCell ref="A25:H25"/>
    <mergeCell ref="F15:G15"/>
    <mergeCell ref="A16:H16"/>
    <mergeCell ref="A19:E19"/>
    <mergeCell ref="A3:H3"/>
    <mergeCell ref="A13:E13"/>
    <mergeCell ref="F14:G14"/>
    <mergeCell ref="A9:E9"/>
    <mergeCell ref="A31:E31"/>
    <mergeCell ref="F32:H32"/>
    <mergeCell ref="B6:H6"/>
    <mergeCell ref="A10:E10"/>
    <mergeCell ref="F12:H12"/>
    <mergeCell ref="A21:E21"/>
    <mergeCell ref="A30:E30"/>
    <mergeCell ref="A12:E12"/>
    <mergeCell ref="A20:E20"/>
    <mergeCell ref="F27:H27"/>
    <mergeCell ref="F9:H9"/>
    <mergeCell ref="A15:E15"/>
    <mergeCell ref="A27:E27"/>
    <mergeCell ref="F18:H18"/>
    <mergeCell ref="A28:E28"/>
    <mergeCell ref="F19:H19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H15"/>
  <sheetViews>
    <sheetView workbookViewId="0">
      <selection activeCell="N13" sqref="N13"/>
    </sheetView>
  </sheetViews>
  <sheetFormatPr defaultRowHeight="15" x14ac:dyDescent="0.25"/>
  <cols>
    <col min="1" max="1" width="34" customWidth="1"/>
    <col min="2" max="2" width="12.5703125" customWidth="1"/>
    <col min="3" max="5" width="12" hidden="1" customWidth="1"/>
    <col min="6" max="6" width="18" customWidth="1"/>
    <col min="7" max="8" width="12" customWidth="1"/>
  </cols>
  <sheetData>
    <row r="1" spans="1:8" ht="24" customHeight="1" thickBot="1" x14ac:dyDescent="0.3">
      <c r="A1" s="324" t="s">
        <v>373</v>
      </c>
      <c r="B1" s="325"/>
      <c r="C1" s="325"/>
      <c r="D1" s="325"/>
      <c r="E1" s="325"/>
      <c r="F1" s="325"/>
      <c r="G1" s="325"/>
      <c r="H1" s="325"/>
    </row>
    <row r="2" spans="1:8" ht="33" customHeight="1" thickBot="1" x14ac:dyDescent="0.3">
      <c r="A2" s="351" t="s">
        <v>104</v>
      </c>
      <c r="B2" s="352"/>
      <c r="C2" s="352"/>
      <c r="D2" s="352"/>
      <c r="E2" s="352"/>
      <c r="F2" s="352"/>
      <c r="G2" s="352"/>
      <c r="H2" s="353"/>
    </row>
    <row r="3" spans="1:8" x14ac:dyDescent="0.25">
      <c r="A3" s="354" t="s">
        <v>105</v>
      </c>
      <c r="B3" s="342"/>
      <c r="C3" s="342"/>
      <c r="D3" s="342"/>
      <c r="E3" s="346"/>
      <c r="F3" s="341">
        <v>1.6666666666666701</v>
      </c>
      <c r="G3" s="342"/>
      <c r="H3" s="343"/>
    </row>
    <row r="4" spans="1:8" x14ac:dyDescent="0.25">
      <c r="A4" s="313" t="s">
        <v>106</v>
      </c>
      <c r="B4" s="314"/>
      <c r="C4" s="314"/>
      <c r="D4" s="314"/>
      <c r="E4" s="315"/>
      <c r="F4" s="347">
        <v>3.0833333333333299</v>
      </c>
      <c r="G4" s="314"/>
      <c r="H4" s="317"/>
    </row>
    <row r="5" spans="1:8" x14ac:dyDescent="0.25">
      <c r="A5" s="313" t="s">
        <v>107</v>
      </c>
      <c r="B5" s="314"/>
      <c r="C5" s="314"/>
      <c r="D5" s="314"/>
      <c r="E5" s="315"/>
      <c r="F5" s="347">
        <v>9</v>
      </c>
      <c r="G5" s="314"/>
      <c r="H5" s="317"/>
    </row>
    <row r="6" spans="1:8" x14ac:dyDescent="0.25">
      <c r="A6" s="313" t="s">
        <v>108</v>
      </c>
      <c r="B6" s="314"/>
      <c r="C6" s="314"/>
      <c r="D6" s="314"/>
      <c r="E6" s="315"/>
      <c r="F6" s="347">
        <v>1274.5</v>
      </c>
      <c r="G6" s="314"/>
      <c r="H6" s="317"/>
    </row>
    <row r="7" spans="1:8" x14ac:dyDescent="0.25">
      <c r="A7" s="313" t="s">
        <v>109</v>
      </c>
      <c r="B7" s="314"/>
      <c r="C7" s="314"/>
      <c r="D7" s="314"/>
      <c r="E7" s="315"/>
      <c r="F7" s="347">
        <v>1.1666666666666701</v>
      </c>
      <c r="G7" s="314"/>
      <c r="H7" s="317"/>
    </row>
    <row r="8" spans="1:8" ht="15.75" thickBot="1" x14ac:dyDescent="0.3">
      <c r="A8" s="320" t="s">
        <v>110</v>
      </c>
      <c r="B8" s="321"/>
      <c r="C8" s="321"/>
      <c r="D8" s="321"/>
      <c r="E8" s="322"/>
      <c r="F8" s="355">
        <v>3</v>
      </c>
      <c r="G8" s="321"/>
      <c r="H8" s="327"/>
    </row>
    <row r="10" spans="1:8" ht="15.75" thickBot="1" x14ac:dyDescent="0.3"/>
    <row r="11" spans="1:8" ht="16.5" thickBot="1" x14ac:dyDescent="0.3">
      <c r="A11" s="351" t="s">
        <v>111</v>
      </c>
      <c r="B11" s="352"/>
      <c r="C11" s="352"/>
      <c r="D11" s="352"/>
      <c r="E11" s="352"/>
      <c r="F11" s="352"/>
      <c r="G11" s="352"/>
      <c r="H11" s="353"/>
    </row>
    <row r="12" spans="1:8" x14ac:dyDescent="0.25">
      <c r="A12" s="345" t="s">
        <v>112</v>
      </c>
      <c r="B12" s="342"/>
      <c r="C12" s="342"/>
      <c r="D12" s="342"/>
      <c r="E12" s="346"/>
      <c r="F12" s="356">
        <f>F5 - F4/2</f>
        <v>7.4583333333333348</v>
      </c>
      <c r="G12" s="342"/>
      <c r="H12" s="343"/>
    </row>
    <row r="13" spans="1:8" x14ac:dyDescent="0.25">
      <c r="A13" s="350" t="s">
        <v>113</v>
      </c>
      <c r="B13" s="314"/>
      <c r="C13" s="314"/>
      <c r="D13" s="314"/>
      <c r="E13" s="315"/>
      <c r="F13" s="348">
        <f>F5 + F4/2</f>
        <v>10.541666666666664</v>
      </c>
      <c r="G13" s="314"/>
      <c r="H13" s="317"/>
    </row>
    <row r="14" spans="1:8" x14ac:dyDescent="0.25">
      <c r="A14" s="350" t="s">
        <v>114</v>
      </c>
      <c r="B14" s="314"/>
      <c r="C14" s="314"/>
      <c r="D14" s="314"/>
      <c r="E14" s="315"/>
      <c r="F14" s="348">
        <f>PI()*(F13^2 - F12^2)</f>
        <v>174.35839227423327</v>
      </c>
      <c r="G14" s="314"/>
      <c r="H14" s="317"/>
    </row>
    <row r="15" spans="1:8" ht="15.75" thickBot="1" x14ac:dyDescent="0.3">
      <c r="A15" s="349" t="s">
        <v>115</v>
      </c>
      <c r="B15" s="321"/>
      <c r="C15" s="321"/>
      <c r="D15" s="321"/>
      <c r="E15" s="322"/>
      <c r="F15" s="344">
        <f>F5 + (F3/2) + 0</f>
        <v>9.8333333333333357</v>
      </c>
      <c r="G15" s="321"/>
      <c r="H15" s="327"/>
    </row>
  </sheetData>
  <mergeCells count="23">
    <mergeCell ref="A1:H1"/>
    <mergeCell ref="A4:E4"/>
    <mergeCell ref="A13:E13"/>
    <mergeCell ref="A5:E5"/>
    <mergeCell ref="F7:H7"/>
    <mergeCell ref="A2:H2"/>
    <mergeCell ref="A3:E3"/>
    <mergeCell ref="A6:E6"/>
    <mergeCell ref="F8:H8"/>
    <mergeCell ref="F13:H13"/>
    <mergeCell ref="F4:H4"/>
    <mergeCell ref="A8:E8"/>
    <mergeCell ref="A11:H11"/>
    <mergeCell ref="F5:H5"/>
    <mergeCell ref="F12:H12"/>
    <mergeCell ref="A7:E7"/>
    <mergeCell ref="F3:H3"/>
    <mergeCell ref="F15:H15"/>
    <mergeCell ref="A12:E12"/>
    <mergeCell ref="F6:H6"/>
    <mergeCell ref="F14:H14"/>
    <mergeCell ref="A15:E15"/>
    <mergeCell ref="A14:E1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H15"/>
  <sheetViews>
    <sheetView workbookViewId="0">
      <selection activeCell="M12" sqref="M12"/>
    </sheetView>
  </sheetViews>
  <sheetFormatPr defaultRowHeight="15" x14ac:dyDescent="0.25"/>
  <cols>
    <col min="1" max="1" width="34" customWidth="1"/>
    <col min="2" max="2" width="4.5703125" customWidth="1"/>
    <col min="3" max="5" width="12" hidden="1" customWidth="1"/>
    <col min="6" max="6" width="18" customWidth="1"/>
    <col min="7" max="7" width="6.7109375" customWidth="1"/>
    <col min="8" max="8" width="30" customWidth="1"/>
  </cols>
  <sheetData>
    <row r="1" spans="1:8" ht="24" customHeight="1" x14ac:dyDescent="0.25">
      <c r="A1" s="324" t="s">
        <v>116</v>
      </c>
      <c r="B1" s="324"/>
      <c r="C1" s="324"/>
      <c r="D1" s="324"/>
      <c r="E1" s="324"/>
      <c r="F1" s="324"/>
      <c r="G1" s="324"/>
      <c r="H1" s="324"/>
    </row>
    <row r="2" spans="1:8" ht="15.75" thickBot="1" x14ac:dyDescent="0.3">
      <c r="A2" s="361"/>
      <c r="B2" s="361"/>
      <c r="C2" s="361"/>
      <c r="D2" s="361"/>
      <c r="E2" s="361"/>
      <c r="F2" s="361"/>
      <c r="G2" s="361"/>
      <c r="H2" s="361"/>
    </row>
    <row r="3" spans="1:8" ht="15.75" customHeight="1" x14ac:dyDescent="0.25">
      <c r="A3" s="364" t="s">
        <v>117</v>
      </c>
      <c r="B3" s="365"/>
      <c r="C3" s="365"/>
      <c r="D3" s="365"/>
      <c r="E3" s="365"/>
      <c r="F3" s="365"/>
      <c r="G3" s="365"/>
      <c r="H3" s="366"/>
    </row>
    <row r="4" spans="1:8" ht="15.75" thickBot="1" x14ac:dyDescent="0.3">
      <c r="A4" s="367"/>
      <c r="B4" s="368"/>
      <c r="C4" s="368"/>
      <c r="D4" s="368"/>
      <c r="E4" s="368"/>
      <c r="F4" s="368"/>
      <c r="G4" s="368"/>
      <c r="H4" s="369"/>
    </row>
    <row r="5" spans="1:8" ht="16.5" thickBot="1" x14ac:dyDescent="0.3">
      <c r="A5" s="351" t="s">
        <v>125</v>
      </c>
      <c r="B5" s="352"/>
      <c r="C5" s="352"/>
      <c r="D5" s="352"/>
      <c r="E5" s="352"/>
      <c r="F5" s="352"/>
      <c r="G5" s="352"/>
      <c r="H5" s="353"/>
    </row>
    <row r="6" spans="1:8" x14ac:dyDescent="0.25">
      <c r="A6" s="337" t="s">
        <v>377</v>
      </c>
      <c r="B6" s="335"/>
      <c r="C6" s="335"/>
      <c r="D6" s="335"/>
      <c r="E6" s="338"/>
      <c r="F6" s="373">
        <f>Inputs!F26/7.48052*Inputs!F27/1000</f>
        <v>83.416660873843</v>
      </c>
      <c r="G6" s="374"/>
      <c r="H6" s="234"/>
    </row>
    <row r="7" spans="1:8" x14ac:dyDescent="0.25">
      <c r="A7" s="313" t="s">
        <v>378</v>
      </c>
      <c r="B7" s="314"/>
      <c r="C7" s="314"/>
      <c r="D7" s="314"/>
      <c r="E7" s="315"/>
      <c r="F7" s="357">
        <f>Inputs!F28</f>
        <v>40</v>
      </c>
      <c r="G7" s="358"/>
      <c r="H7" s="235"/>
    </row>
    <row r="8" spans="1:8" x14ac:dyDescent="0.25">
      <c r="A8" s="313" t="s">
        <v>379</v>
      </c>
      <c r="B8" s="314"/>
      <c r="C8" s="314"/>
      <c r="D8" s="314"/>
      <c r="E8" s="315"/>
      <c r="F8" s="357">
        <f>IF(Inputs!F30="","",Inputs!F30)</f>
        <v>13.464815043555673</v>
      </c>
      <c r="G8" s="358"/>
      <c r="H8" s="235" t="s">
        <v>118</v>
      </c>
    </row>
    <row r="9" spans="1:8" ht="30" x14ac:dyDescent="0.25">
      <c r="A9" s="313" t="s">
        <v>119</v>
      </c>
      <c r="B9" s="314"/>
      <c r="C9" s="314"/>
      <c r="D9" s="314"/>
      <c r="E9" s="315"/>
      <c r="F9" s="357">
        <f>Geometry!F14*Geometry!F7*Inputs!F11/1000</f>
        <v>30.512718647990912</v>
      </c>
      <c r="G9" s="358"/>
      <c r="H9" s="235" t="s">
        <v>380</v>
      </c>
    </row>
    <row r="10" spans="1:8" x14ac:dyDescent="0.25">
      <c r="A10" s="313" t="s">
        <v>120</v>
      </c>
      <c r="B10" s="314"/>
      <c r="C10" s="314"/>
      <c r="D10" s="314"/>
      <c r="E10" s="315"/>
      <c r="F10" s="357">
        <f>SUM(F6:F9)</f>
        <v>167.39419456538957</v>
      </c>
      <c r="G10" s="358"/>
      <c r="H10" s="235"/>
    </row>
    <row r="11" spans="1:8" ht="15.75" thickBot="1" x14ac:dyDescent="0.3">
      <c r="A11" s="320" t="s">
        <v>121</v>
      </c>
      <c r="B11" s="321"/>
      <c r="C11" s="321"/>
      <c r="D11" s="321"/>
      <c r="E11" s="322"/>
      <c r="F11" s="359">
        <f>Inputs!F17/1000</f>
        <v>4</v>
      </c>
      <c r="G11" s="360"/>
      <c r="H11" s="236"/>
    </row>
    <row r="12" spans="1:8" ht="15.75" thickBot="1" x14ac:dyDescent="0.3"/>
    <row r="13" spans="1:8" ht="15.75" x14ac:dyDescent="0.25">
      <c r="A13" s="372" t="s">
        <v>122</v>
      </c>
      <c r="B13" s="329"/>
      <c r="C13" s="329"/>
      <c r="D13" s="329"/>
      <c r="E13" s="329"/>
      <c r="F13" s="329"/>
      <c r="G13" s="329"/>
      <c r="H13" s="330"/>
    </row>
    <row r="14" spans="1:8" x14ac:dyDescent="0.25">
      <c r="A14" s="350" t="s">
        <v>235</v>
      </c>
      <c r="B14" s="314"/>
      <c r="C14" s="314"/>
      <c r="D14" s="314"/>
      <c r="E14" s="315"/>
      <c r="F14" s="362">
        <f>F10/(Geometry!F14)</f>
        <v>0.96005814450336113</v>
      </c>
      <c r="G14" s="363"/>
      <c r="H14" s="203"/>
    </row>
    <row r="15" spans="1:8" ht="15.75" thickBot="1" x14ac:dyDescent="0.3">
      <c r="A15" s="349" t="s">
        <v>236</v>
      </c>
      <c r="B15" s="321"/>
      <c r="C15" s="321"/>
      <c r="D15" s="321"/>
      <c r="E15" s="322"/>
      <c r="F15" s="370">
        <f>F14/F11</f>
        <v>0.24001453612584028</v>
      </c>
      <c r="G15" s="371"/>
      <c r="H15" s="204" t="s">
        <v>123</v>
      </c>
    </row>
  </sheetData>
  <mergeCells count="20">
    <mergeCell ref="A15:E15"/>
    <mergeCell ref="A11:E11"/>
    <mergeCell ref="A6:E6"/>
    <mergeCell ref="F15:G15"/>
    <mergeCell ref="A7:E7"/>
    <mergeCell ref="A14:E14"/>
    <mergeCell ref="A8:E8"/>
    <mergeCell ref="A10:E10"/>
    <mergeCell ref="A13:H13"/>
    <mergeCell ref="F6:G6"/>
    <mergeCell ref="F7:G7"/>
    <mergeCell ref="F8:G8"/>
    <mergeCell ref="F9:G9"/>
    <mergeCell ref="F10:G10"/>
    <mergeCell ref="F11:G11"/>
    <mergeCell ref="A1:H2"/>
    <mergeCell ref="F14:G14"/>
    <mergeCell ref="A9:E9"/>
    <mergeCell ref="A3:H4"/>
    <mergeCell ref="A5:H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H35"/>
  <sheetViews>
    <sheetView workbookViewId="0">
      <selection activeCell="I12" sqref="I12"/>
    </sheetView>
  </sheetViews>
  <sheetFormatPr defaultRowHeight="15" x14ac:dyDescent="0.25"/>
  <cols>
    <col min="1" max="1" width="36" customWidth="1"/>
    <col min="2" max="2" width="9.42578125" customWidth="1"/>
    <col min="3" max="3" width="0.28515625" customWidth="1"/>
    <col min="4" max="5" width="12" hidden="1" customWidth="1"/>
    <col min="6" max="6" width="15" customWidth="1"/>
    <col min="7" max="7" width="7.42578125" customWidth="1"/>
    <col min="8" max="8" width="30" customWidth="1"/>
  </cols>
  <sheetData>
    <row r="1" spans="1:8" ht="24" customHeight="1" thickBot="1" x14ac:dyDescent="0.3">
      <c r="A1" s="394" t="s">
        <v>124</v>
      </c>
      <c r="B1" s="395"/>
      <c r="C1" s="395"/>
      <c r="D1" s="395"/>
      <c r="E1" s="395"/>
      <c r="F1" s="395"/>
      <c r="G1" s="395"/>
      <c r="H1" s="396"/>
    </row>
    <row r="2" spans="1:8" ht="15.75" thickBot="1" x14ac:dyDescent="0.3"/>
    <row r="3" spans="1:8" ht="15.75" x14ac:dyDescent="0.25">
      <c r="A3" s="372" t="s">
        <v>125</v>
      </c>
      <c r="B3" s="329"/>
      <c r="C3" s="329"/>
      <c r="D3" s="329"/>
      <c r="E3" s="329"/>
      <c r="F3" s="329"/>
      <c r="G3" s="329"/>
      <c r="H3" s="330"/>
    </row>
    <row r="4" spans="1:8" ht="1.5" customHeight="1" thickBot="1" x14ac:dyDescent="0.3">
      <c r="A4" s="201"/>
      <c r="H4" s="202"/>
    </row>
    <row r="5" spans="1:8" ht="65.25" customHeight="1" x14ac:dyDescent="0.25">
      <c r="A5" s="337" t="s">
        <v>126</v>
      </c>
      <c r="B5" s="335"/>
      <c r="C5" s="335"/>
      <c r="D5" s="335"/>
      <c r="E5" s="336"/>
      <c r="F5" s="399">
        <v>12</v>
      </c>
      <c r="G5" s="385"/>
      <c r="H5" s="205" t="s">
        <v>381</v>
      </c>
    </row>
    <row r="6" spans="1:8" x14ac:dyDescent="0.25">
      <c r="A6" s="313" t="s">
        <v>127</v>
      </c>
      <c r="B6" s="314"/>
      <c r="C6" s="314"/>
      <c r="D6" s="314"/>
      <c r="E6" s="317"/>
      <c r="F6" s="382">
        <f>Geometry!F7*12 - Geometry!F8</f>
        <v>11.000000000000041</v>
      </c>
      <c r="G6" s="383"/>
      <c r="H6" s="206" t="s">
        <v>128</v>
      </c>
    </row>
    <row r="7" spans="1:8" x14ac:dyDescent="0.25">
      <c r="A7" s="313" t="s">
        <v>129</v>
      </c>
      <c r="B7" s="314"/>
      <c r="C7" s="314"/>
      <c r="D7" s="314"/>
      <c r="E7" s="317"/>
      <c r="F7" s="382">
        <f>12</f>
        <v>12</v>
      </c>
      <c r="G7" s="383"/>
      <c r="H7" s="206"/>
    </row>
    <row r="8" spans="1:8" x14ac:dyDescent="0.25">
      <c r="A8" s="313" t="s">
        <v>130</v>
      </c>
      <c r="B8" s="314"/>
      <c r="C8" s="314"/>
      <c r="D8" s="314"/>
      <c r="E8" s="317"/>
      <c r="F8" s="382">
        <f>Inputs!F9</f>
        <v>4000</v>
      </c>
      <c r="G8" s="383"/>
      <c r="H8" s="206"/>
    </row>
    <row r="9" spans="1:8" x14ac:dyDescent="0.25">
      <c r="A9" s="313" t="s">
        <v>131</v>
      </c>
      <c r="B9" s="314"/>
      <c r="C9" s="314"/>
      <c r="D9" s="314"/>
      <c r="E9" s="317"/>
      <c r="F9" s="382">
        <f>Inputs!F10</f>
        <v>60000</v>
      </c>
      <c r="G9" s="383"/>
      <c r="H9" s="206"/>
    </row>
    <row r="10" spans="1:8" ht="15.75" thickBot="1" x14ac:dyDescent="0.3">
      <c r="A10" s="320" t="s">
        <v>84</v>
      </c>
      <c r="B10" s="321"/>
      <c r="C10" s="321"/>
      <c r="D10" s="321"/>
      <c r="E10" s="327"/>
      <c r="F10" s="376">
        <f>Inputs!F14</f>
        <v>29000000</v>
      </c>
      <c r="G10" s="377"/>
      <c r="H10" s="207"/>
    </row>
    <row r="11" spans="1:8" ht="15.75" thickBot="1" x14ac:dyDescent="0.3">
      <c r="A11" t="s">
        <v>132</v>
      </c>
      <c r="F11">
        <f>Inputs!F15</f>
        <v>1</v>
      </c>
    </row>
    <row r="12" spans="1:8" ht="15.75" x14ac:dyDescent="0.25">
      <c r="A12" s="372" t="s">
        <v>133</v>
      </c>
      <c r="B12" s="329"/>
      <c r="C12" s="329"/>
      <c r="D12" s="329"/>
      <c r="E12" s="329"/>
      <c r="F12" s="329"/>
      <c r="G12" s="329"/>
      <c r="H12" s="330"/>
    </row>
    <row r="13" spans="1:8" ht="15.75" thickBot="1" x14ac:dyDescent="0.3">
      <c r="A13" s="201"/>
      <c r="H13" s="202"/>
    </row>
    <row r="14" spans="1:8" x14ac:dyDescent="0.25">
      <c r="A14" s="387" t="s">
        <v>134</v>
      </c>
      <c r="B14" s="388"/>
      <c r="C14" s="388"/>
      <c r="D14" s="388"/>
      <c r="E14" s="388"/>
      <c r="F14" s="392">
        <f>IF(F8&lt;=4000,0.85,MAX(0.65,0.85-0.05*(F8-4000)/1000))</f>
        <v>0.85</v>
      </c>
      <c r="G14" s="393"/>
      <c r="H14" s="211" t="s">
        <v>135</v>
      </c>
    </row>
    <row r="15" spans="1:8" x14ac:dyDescent="0.25">
      <c r="A15" s="378" t="s">
        <v>136</v>
      </c>
      <c r="B15" s="379"/>
      <c r="C15" s="379"/>
      <c r="D15" s="379"/>
      <c r="E15" s="379"/>
      <c r="F15" s="398">
        <f>F9/F10</f>
        <v>2.0689655172413794E-3</v>
      </c>
      <c r="G15" s="381"/>
      <c r="H15" s="212"/>
    </row>
    <row r="16" spans="1:8" x14ac:dyDescent="0.25">
      <c r="A16" s="378" t="s">
        <v>137</v>
      </c>
      <c r="B16" s="379"/>
      <c r="C16" s="379"/>
      <c r="D16" s="379"/>
      <c r="E16" s="379"/>
      <c r="F16" s="380">
        <v>0.79</v>
      </c>
      <c r="G16" s="381"/>
      <c r="H16" s="212" t="s">
        <v>382</v>
      </c>
    </row>
    <row r="17" spans="1:8" x14ac:dyDescent="0.25">
      <c r="A17" s="378" t="s">
        <v>138</v>
      </c>
      <c r="B17" s="379"/>
      <c r="C17" s="379"/>
      <c r="D17" s="379"/>
      <c r="E17" s="379"/>
      <c r="F17" s="380">
        <f>F16*F9/(0.85*F8*F7)</f>
        <v>1.161764705882353</v>
      </c>
      <c r="G17" s="381"/>
      <c r="H17" s="212" t="s">
        <v>139</v>
      </c>
    </row>
    <row r="18" spans="1:8" ht="15.75" thickBot="1" x14ac:dyDescent="0.3">
      <c r="A18" s="402" t="s">
        <v>140</v>
      </c>
      <c r="B18" s="403"/>
      <c r="C18" s="403"/>
      <c r="D18" s="403"/>
      <c r="E18" s="403"/>
      <c r="F18" s="400">
        <f>IF(F17="","",F17/F14)</f>
        <v>1.3667820069204153</v>
      </c>
      <c r="G18" s="401"/>
      <c r="H18" s="213"/>
    </row>
    <row r="19" spans="1:8" ht="15.75" thickBot="1" x14ac:dyDescent="0.3">
      <c r="A19" t="s">
        <v>141</v>
      </c>
      <c r="F19" s="4">
        <f>0.003*(F6-F18)/F18</f>
        <v>2.1144303797468445E-2</v>
      </c>
    </row>
    <row r="20" spans="1:8" ht="16.5" thickBot="1" x14ac:dyDescent="0.3">
      <c r="A20" s="389">
        <f>IF(F19="","",IF(F19&gt;=F15+0.003,0.9,IF(F19&lt;=F15,0.65,0.65+0.25*(F19-F15)/0.003)))</f>
        <v>0.9</v>
      </c>
      <c r="B20" s="390"/>
      <c r="C20" s="390"/>
      <c r="D20" s="390"/>
      <c r="E20" s="390"/>
      <c r="F20" s="390"/>
      <c r="G20" s="390"/>
      <c r="H20" s="391"/>
    </row>
    <row r="21" spans="1:8" ht="15.75" thickBot="1" x14ac:dyDescent="0.3">
      <c r="A21" s="210" t="s">
        <v>142</v>
      </c>
      <c r="B21" s="199"/>
      <c r="C21" s="199"/>
      <c r="D21" s="199"/>
      <c r="E21" s="199"/>
      <c r="F21" s="200">
        <f>IF(F16="","",F16*F9*(F6 - F17/2))</f>
        <v>493866.17647059023</v>
      </c>
    </row>
    <row r="22" spans="1:8" x14ac:dyDescent="0.25">
      <c r="A22" s="337" t="s">
        <v>143</v>
      </c>
      <c r="B22" s="335"/>
      <c r="C22" s="335"/>
      <c r="D22" s="335"/>
      <c r="E22" s="336"/>
      <c r="F22" s="384">
        <f>IF(F21="","",A20*F21/1000)</f>
        <v>444.47955882353119</v>
      </c>
      <c r="G22" s="385"/>
      <c r="H22" s="205" t="s">
        <v>144</v>
      </c>
    </row>
    <row r="23" spans="1:8" x14ac:dyDescent="0.25">
      <c r="A23" s="386" t="s">
        <v>145</v>
      </c>
      <c r="B23" s="314"/>
      <c r="C23" s="314"/>
      <c r="D23" s="314"/>
      <c r="E23" s="317"/>
      <c r="F23" s="404">
        <f>IF(OR(F5="",F22=""),"",F5/F22)</f>
        <v>2.6997866969995534E-2</v>
      </c>
      <c r="G23" s="383"/>
      <c r="H23" s="208"/>
    </row>
    <row r="24" spans="1:8" ht="15.75" thickBot="1" x14ac:dyDescent="0.3">
      <c r="A24" s="375" t="s">
        <v>146</v>
      </c>
      <c r="B24" s="321"/>
      <c r="C24" s="321"/>
      <c r="D24" s="321"/>
      <c r="E24" s="327"/>
      <c r="F24" s="397">
        <f>IF(F18="","",(F23*12)/F18)</f>
        <v>0.23703443709353039</v>
      </c>
      <c r="G24" s="377"/>
      <c r="H24" s="209" t="s">
        <v>147</v>
      </c>
    </row>
    <row r="25" spans="1:8" ht="15.75" thickBot="1" x14ac:dyDescent="0.3">
      <c r="A25" t="s">
        <v>148</v>
      </c>
    </row>
    <row r="26" spans="1:8" x14ac:dyDescent="0.25">
      <c r="A26" s="411" t="s">
        <v>149</v>
      </c>
      <c r="B26" s="412"/>
      <c r="C26" s="412"/>
      <c r="D26" s="412"/>
      <c r="E26" s="412"/>
      <c r="F26" s="214">
        <f>IF(F5="","",(F5*1000)/0.9)</f>
        <v>13333.333333333332</v>
      </c>
    </row>
    <row r="27" spans="1:8" ht="15.75" thickBot="1" x14ac:dyDescent="0.3">
      <c r="A27" s="407" t="s">
        <v>150</v>
      </c>
      <c r="B27" s="408"/>
      <c r="C27" s="408"/>
      <c r="D27" s="408"/>
      <c r="E27" s="408"/>
      <c r="F27" s="215">
        <f>IF(F5="","",(F9*F6 - SQRT((F9*F6)^2 - 4*(F9^2/(2*0.85*F8*F7))*F26))/(2*(F9^2/(2*0.85*F8*F7))))</f>
        <v>2.0229374988947918E-2</v>
      </c>
    </row>
    <row r="28" spans="1:8" ht="15.75" thickBot="1" x14ac:dyDescent="0.3">
      <c r="A28" s="413"/>
      <c r="B28" s="414"/>
      <c r="C28" s="414"/>
      <c r="D28" s="414"/>
      <c r="E28" s="414"/>
      <c r="F28" s="415"/>
    </row>
    <row r="29" spans="1:8" x14ac:dyDescent="0.25">
      <c r="A29" s="409" t="s">
        <v>151</v>
      </c>
      <c r="B29" s="165"/>
      <c r="F29" s="175"/>
    </row>
    <row r="30" spans="1:8" ht="15.75" thickBot="1" x14ac:dyDescent="0.3">
      <c r="A30" s="410"/>
      <c r="B30" s="165"/>
      <c r="F30" s="175"/>
    </row>
    <row r="31" spans="1:8" x14ac:dyDescent="0.25">
      <c r="A31" s="411" t="s">
        <v>152</v>
      </c>
      <c r="B31" s="412"/>
      <c r="C31" s="412"/>
      <c r="D31" s="412"/>
      <c r="E31" s="412"/>
      <c r="F31" s="216" t="s">
        <v>237</v>
      </c>
    </row>
    <row r="32" spans="1:8" x14ac:dyDescent="0.25">
      <c r="A32" s="405" t="s">
        <v>153</v>
      </c>
      <c r="B32" s="406"/>
      <c r="C32" s="406"/>
      <c r="D32" s="406"/>
      <c r="E32" s="406"/>
      <c r="F32" s="217">
        <f>IF(F31="No.4",0.2,IF(F31="No.5",0.31,IF(F31="No.6",0.44,IF(F31="No.7",0.6,IF(F31="No.8",0.79,"")))))</f>
        <v>0.44</v>
      </c>
    </row>
    <row r="33" spans="1:7" x14ac:dyDescent="0.25">
      <c r="A33" s="405" t="s">
        <v>154</v>
      </c>
      <c r="B33" s="406"/>
      <c r="C33" s="406"/>
      <c r="D33" s="406"/>
      <c r="E33" s="406"/>
      <c r="F33" s="217">
        <v>5</v>
      </c>
      <c r="G33" t="s">
        <v>383</v>
      </c>
    </row>
    <row r="34" spans="1:7" x14ac:dyDescent="0.25">
      <c r="A34" s="405" t="s">
        <v>155</v>
      </c>
      <c r="B34" s="406"/>
      <c r="C34" s="406"/>
      <c r="D34" s="406"/>
      <c r="E34" s="406"/>
      <c r="F34" s="218">
        <f>IF(OR(F32="",F33=""),"",F32*12/F33)</f>
        <v>1.056</v>
      </c>
    </row>
    <row r="35" spans="1:7" ht="15.75" thickBot="1" x14ac:dyDescent="0.3">
      <c r="A35" s="407" t="s">
        <v>156</v>
      </c>
      <c r="B35" s="408"/>
      <c r="C35" s="408"/>
      <c r="D35" s="408"/>
      <c r="E35" s="408"/>
      <c r="F35" s="219">
        <f>IF(OR(F32="",F27=""),"",F32*12/F27)</f>
        <v>261.0065809193149</v>
      </c>
    </row>
  </sheetData>
  <mergeCells count="41">
    <mergeCell ref="A33:E33"/>
    <mergeCell ref="A35:E35"/>
    <mergeCell ref="A34:E34"/>
    <mergeCell ref="A29:A30"/>
    <mergeCell ref="A26:E26"/>
    <mergeCell ref="A27:E27"/>
    <mergeCell ref="A28:F28"/>
    <mergeCell ref="A31:E31"/>
    <mergeCell ref="A32:E32"/>
    <mergeCell ref="A1:H1"/>
    <mergeCell ref="A6:E6"/>
    <mergeCell ref="F7:G7"/>
    <mergeCell ref="F24:G24"/>
    <mergeCell ref="F15:G15"/>
    <mergeCell ref="A16:E16"/>
    <mergeCell ref="A7:E7"/>
    <mergeCell ref="F5:G5"/>
    <mergeCell ref="F18:G18"/>
    <mergeCell ref="F17:G17"/>
    <mergeCell ref="A18:E18"/>
    <mergeCell ref="F8:G8"/>
    <mergeCell ref="A12:H12"/>
    <mergeCell ref="A3:H3"/>
    <mergeCell ref="F23:G23"/>
    <mergeCell ref="A5:E5"/>
    <mergeCell ref="A24:E24"/>
    <mergeCell ref="F10:G10"/>
    <mergeCell ref="A15:E15"/>
    <mergeCell ref="F16:G16"/>
    <mergeCell ref="F6:G6"/>
    <mergeCell ref="F22:G22"/>
    <mergeCell ref="A23:E23"/>
    <mergeCell ref="A14:E14"/>
    <mergeCell ref="A8:E8"/>
    <mergeCell ref="A22:E22"/>
    <mergeCell ref="A17:E17"/>
    <mergeCell ref="F9:G9"/>
    <mergeCell ref="A20:H20"/>
    <mergeCell ref="A10:E10"/>
    <mergeCell ref="F14:G14"/>
    <mergeCell ref="A9:E9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H22"/>
  <sheetViews>
    <sheetView workbookViewId="0"/>
  </sheetViews>
  <sheetFormatPr defaultRowHeight="15" x14ac:dyDescent="0.25"/>
  <cols>
    <col min="1" max="1" width="38" customWidth="1"/>
    <col min="2" max="2" width="16" customWidth="1"/>
    <col min="3" max="5" width="12" customWidth="1"/>
    <col min="6" max="7" width="18" customWidth="1"/>
    <col min="8" max="8" width="34" customWidth="1"/>
  </cols>
  <sheetData>
    <row r="1" spans="1:8" ht="24" customHeight="1" x14ac:dyDescent="0.25">
      <c r="A1" s="324" t="s">
        <v>157</v>
      </c>
      <c r="B1" s="325"/>
      <c r="C1" s="325"/>
      <c r="D1" s="325"/>
      <c r="E1" s="325"/>
      <c r="F1" s="325"/>
      <c r="G1" s="325"/>
      <c r="H1" s="325"/>
    </row>
    <row r="3" spans="1:8" ht="15.75" x14ac:dyDescent="0.25">
      <c r="A3" s="418" t="s">
        <v>125</v>
      </c>
      <c r="B3" s="325"/>
      <c r="C3" s="325"/>
      <c r="D3" s="325"/>
      <c r="E3" s="325"/>
      <c r="F3" s="325"/>
      <c r="G3" s="325"/>
      <c r="H3" s="325"/>
    </row>
    <row r="5" spans="1:8" x14ac:dyDescent="0.25">
      <c r="A5" s="416" t="s">
        <v>158</v>
      </c>
      <c r="B5" s="314"/>
      <c r="C5" s="314"/>
      <c r="D5" s="314"/>
      <c r="E5" s="315"/>
      <c r="F5" s="316"/>
      <c r="G5" s="315"/>
      <c r="H5" s="2" t="s">
        <v>159</v>
      </c>
    </row>
    <row r="6" spans="1:8" x14ac:dyDescent="0.25">
      <c r="A6" s="416" t="s">
        <v>160</v>
      </c>
      <c r="B6" s="314"/>
      <c r="C6" s="314"/>
      <c r="D6" s="314"/>
      <c r="E6" s="315"/>
      <c r="F6" s="417">
        <f>'Flexure (Ring Footing)'!F6</f>
        <v>11.000000000000041</v>
      </c>
      <c r="G6" s="315"/>
      <c r="H6" s="2"/>
    </row>
    <row r="7" spans="1:8" x14ac:dyDescent="0.25">
      <c r="A7" s="416" t="s">
        <v>161</v>
      </c>
      <c r="B7" s="314"/>
      <c r="C7" s="314"/>
      <c r="D7" s="314"/>
      <c r="E7" s="315"/>
      <c r="F7" s="417">
        <f>Inputs!F9</f>
        <v>4000</v>
      </c>
      <c r="G7" s="315"/>
      <c r="H7" s="2"/>
    </row>
    <row r="8" spans="1:8" x14ac:dyDescent="0.25">
      <c r="A8" s="416" t="s">
        <v>162</v>
      </c>
      <c r="B8" s="314"/>
      <c r="C8" s="314"/>
      <c r="D8" s="314"/>
      <c r="E8" s="315"/>
      <c r="F8" s="417">
        <f>0.75</f>
        <v>0.75</v>
      </c>
      <c r="G8" s="315"/>
      <c r="H8" s="2"/>
    </row>
    <row r="9" spans="1:8" x14ac:dyDescent="0.25">
      <c r="A9" s="416" t="s">
        <v>163</v>
      </c>
      <c r="B9" s="314"/>
      <c r="C9" s="314"/>
      <c r="D9" s="314"/>
      <c r="E9" s="315"/>
      <c r="F9" s="417">
        <f>12</f>
        <v>12</v>
      </c>
      <c r="G9" s="315"/>
      <c r="H9" s="2" t="s">
        <v>164</v>
      </c>
    </row>
    <row r="10" spans="1:8" ht="30" x14ac:dyDescent="0.25">
      <c r="A10" s="416" t="s">
        <v>165</v>
      </c>
      <c r="B10" s="314"/>
      <c r="C10" s="314"/>
      <c r="D10" s="314"/>
      <c r="E10" s="315"/>
      <c r="F10" s="316"/>
      <c r="G10" s="315"/>
      <c r="H10" s="2" t="s">
        <v>166</v>
      </c>
    </row>
    <row r="12" spans="1:8" ht="15.75" x14ac:dyDescent="0.25">
      <c r="A12" s="418" t="s">
        <v>167</v>
      </c>
      <c r="B12" s="325"/>
      <c r="C12" s="325"/>
      <c r="D12" s="325"/>
      <c r="E12" s="325"/>
      <c r="F12" s="325"/>
      <c r="G12" s="325"/>
      <c r="H12" s="325"/>
    </row>
    <row r="14" spans="1:8" x14ac:dyDescent="0.25">
      <c r="A14" s="419" t="s">
        <v>168</v>
      </c>
      <c r="B14" s="314"/>
      <c r="C14" s="314"/>
      <c r="D14" s="314"/>
      <c r="E14" s="315"/>
      <c r="F14" s="421">
        <f>IF(OR(F7="",F9="",F6=""),"",2*SQRT(F7)*F9*F6)</f>
        <v>16696.826045689104</v>
      </c>
      <c r="G14" s="315"/>
      <c r="H14" s="3"/>
    </row>
    <row r="15" spans="1:8" x14ac:dyDescent="0.25">
      <c r="A15" s="419" t="s">
        <v>169</v>
      </c>
      <c r="B15" s="314"/>
      <c r="C15" s="314"/>
      <c r="D15" s="314"/>
      <c r="E15" s="315"/>
      <c r="F15" s="420">
        <f>IF(F14="","",F8*F14/1000)</f>
        <v>12.522619534266829</v>
      </c>
      <c r="G15" s="315"/>
      <c r="H15" s="3"/>
    </row>
    <row r="16" spans="1:8" x14ac:dyDescent="0.25">
      <c r="A16" s="419" t="s">
        <v>170</v>
      </c>
      <c r="B16" s="314"/>
      <c r="C16" s="314"/>
      <c r="D16" s="314"/>
      <c r="E16" s="315"/>
      <c r="F16" s="420" t="str">
        <f>IF(OR(F5="",F15=""),"",F5/F15)</f>
        <v/>
      </c>
      <c r="G16" s="315"/>
      <c r="H16" s="3"/>
    </row>
    <row r="18" spans="1:8" ht="15.75" x14ac:dyDescent="0.25">
      <c r="A18" s="418" t="s">
        <v>171</v>
      </c>
      <c r="B18" s="325"/>
      <c r="C18" s="325"/>
      <c r="D18" s="325"/>
      <c r="E18" s="325"/>
      <c r="F18" s="325"/>
      <c r="G18" s="325"/>
      <c r="H18" s="325"/>
    </row>
    <row r="20" spans="1:8" x14ac:dyDescent="0.25">
      <c r="A20" s="419" t="s">
        <v>172</v>
      </c>
      <c r="B20" s="314"/>
      <c r="C20" s="314"/>
      <c r="D20" s="314"/>
      <c r="E20" s="315"/>
      <c r="F20" s="422" t="str">
        <f>IF(OR(F7="",F10="",F6=""),"",4*SQRT(F7)*F10*F6)</f>
        <v/>
      </c>
      <c r="G20" s="315"/>
      <c r="H20" s="3"/>
    </row>
    <row r="21" spans="1:8" x14ac:dyDescent="0.25">
      <c r="A21" s="419" t="s">
        <v>173</v>
      </c>
      <c r="B21" s="314"/>
      <c r="C21" s="314"/>
      <c r="D21" s="314"/>
      <c r="E21" s="315"/>
      <c r="F21" s="420" t="str">
        <f>IF(F20="","",F8*F20/1000)</f>
        <v/>
      </c>
      <c r="G21" s="315"/>
      <c r="H21" s="3"/>
    </row>
    <row r="22" spans="1:8" x14ac:dyDescent="0.25">
      <c r="A22" s="419" t="s">
        <v>174</v>
      </c>
      <c r="B22" s="314"/>
      <c r="C22" s="314"/>
      <c r="D22" s="314"/>
      <c r="E22" s="315"/>
      <c r="F22" s="420" t="str">
        <f>IF(OR(F5="",F21=""),"",F5/F21)</f>
        <v/>
      </c>
      <c r="G22" s="315"/>
      <c r="H22" s="3"/>
    </row>
  </sheetData>
  <mergeCells count="28">
    <mergeCell ref="F22:G22"/>
    <mergeCell ref="A14:E14"/>
    <mergeCell ref="A8:E8"/>
    <mergeCell ref="A22:E22"/>
    <mergeCell ref="F9:G9"/>
    <mergeCell ref="A20:E20"/>
    <mergeCell ref="A10:E10"/>
    <mergeCell ref="F14:G14"/>
    <mergeCell ref="A9:E9"/>
    <mergeCell ref="F21:G21"/>
    <mergeCell ref="F15:G15"/>
    <mergeCell ref="A16:E16"/>
    <mergeCell ref="A21:E21"/>
    <mergeCell ref="F20:G20"/>
    <mergeCell ref="F8:G8"/>
    <mergeCell ref="A12:H12"/>
    <mergeCell ref="A18:H18"/>
    <mergeCell ref="A5:E5"/>
    <mergeCell ref="F10:G10"/>
    <mergeCell ref="A15:E15"/>
    <mergeCell ref="F16:G16"/>
    <mergeCell ref="F6:G6"/>
    <mergeCell ref="A1:H1"/>
    <mergeCell ref="A6:E6"/>
    <mergeCell ref="F7:G7"/>
    <mergeCell ref="A3:H3"/>
    <mergeCell ref="A7:E7"/>
    <mergeCell ref="F5:G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G47"/>
  <sheetViews>
    <sheetView showGridLines="0" workbookViewId="0">
      <selection sqref="A1:D1"/>
    </sheetView>
  </sheetViews>
  <sheetFormatPr defaultRowHeight="15" x14ac:dyDescent="0.25"/>
  <cols>
    <col min="1" max="1" width="42" customWidth="1"/>
    <col min="2" max="2" width="4" hidden="1" customWidth="1"/>
    <col min="3" max="4" width="20" customWidth="1"/>
    <col min="5" max="5" width="4" customWidth="1"/>
    <col min="6" max="7" width="20" customWidth="1"/>
    <col min="8" max="8" width="18" customWidth="1"/>
  </cols>
  <sheetData>
    <row r="1" spans="1:7" ht="27.95" customHeight="1" thickBot="1" x14ac:dyDescent="0.3">
      <c r="A1" s="428" t="s">
        <v>175</v>
      </c>
      <c r="B1" s="429"/>
      <c r="C1" s="429"/>
      <c r="D1" s="430"/>
    </row>
    <row r="2" spans="1:7" ht="15.75" thickBot="1" x14ac:dyDescent="0.3"/>
    <row r="3" spans="1:7" ht="20.100000000000001" customHeight="1" thickBot="1" x14ac:dyDescent="0.3">
      <c r="A3" s="226" t="s">
        <v>125</v>
      </c>
    </row>
    <row r="4" spans="1:7" ht="18" customHeight="1" x14ac:dyDescent="0.25">
      <c r="A4" s="220" t="s">
        <v>130</v>
      </c>
      <c r="C4" s="227">
        <f>Inputs!F9</f>
        <v>4000</v>
      </c>
      <c r="D4" s="230" t="s">
        <v>176</v>
      </c>
    </row>
    <row r="5" spans="1:7" ht="18" customHeight="1" x14ac:dyDescent="0.25">
      <c r="A5" s="221" t="s">
        <v>177</v>
      </c>
      <c r="C5" s="228">
        <f>Inputs!F15</f>
        <v>1</v>
      </c>
      <c r="D5" s="231"/>
    </row>
    <row r="6" spans="1:7" ht="30" x14ac:dyDescent="0.25">
      <c r="A6" s="221" t="s">
        <v>178</v>
      </c>
      <c r="C6" s="228">
        <v>0.75</v>
      </c>
      <c r="D6" s="231"/>
    </row>
    <row r="7" spans="1:7" ht="30" x14ac:dyDescent="0.25">
      <c r="A7" s="221" t="s">
        <v>179</v>
      </c>
      <c r="C7" s="228">
        <v>0.65</v>
      </c>
      <c r="D7" s="231"/>
    </row>
    <row r="8" spans="1:7" x14ac:dyDescent="0.25">
      <c r="A8" s="221" t="s">
        <v>127</v>
      </c>
      <c r="C8" s="228">
        <f>'Flexure (Ring Footing)'!F6</f>
        <v>11.000000000000041</v>
      </c>
      <c r="D8" s="231" t="s">
        <v>180</v>
      </c>
    </row>
    <row r="9" spans="1:7" ht="30" x14ac:dyDescent="0.25">
      <c r="A9" s="221" t="s">
        <v>181</v>
      </c>
      <c r="C9" s="228">
        <v>12</v>
      </c>
      <c r="D9" s="231" t="s">
        <v>180</v>
      </c>
    </row>
    <row r="10" spans="1:7" ht="30" x14ac:dyDescent="0.25">
      <c r="A10" s="221" t="s">
        <v>182</v>
      </c>
      <c r="C10" s="228">
        <f>'Flexure (Ring Footing)'!F16</f>
        <v>0.79</v>
      </c>
      <c r="D10" s="231" t="s">
        <v>183</v>
      </c>
      <c r="G10" t="s">
        <v>384</v>
      </c>
    </row>
    <row r="11" spans="1:7" ht="18" customHeight="1" thickBot="1" x14ac:dyDescent="0.3">
      <c r="A11" s="222" t="s">
        <v>184</v>
      </c>
      <c r="C11" s="229">
        <f>Geometry!F7*12</f>
        <v>14.000000000000041</v>
      </c>
      <c r="D11" s="232" t="s">
        <v>180</v>
      </c>
    </row>
    <row r="12" spans="1:7" ht="15.75" thickBot="1" x14ac:dyDescent="0.3">
      <c r="C12" s="5"/>
    </row>
    <row r="13" spans="1:7" ht="20.100000000000001" customHeight="1" thickBot="1" x14ac:dyDescent="0.3">
      <c r="A13" s="226" t="s">
        <v>185</v>
      </c>
    </row>
    <row r="14" spans="1:7" ht="30" x14ac:dyDescent="0.25">
      <c r="A14" s="205" t="s">
        <v>186</v>
      </c>
      <c r="C14" s="252">
        <f>MIN(1,2/(1 + C8/10))</f>
        <v>0.95238095238095055</v>
      </c>
      <c r="D14" s="249"/>
    </row>
    <row r="15" spans="1:7" x14ac:dyDescent="0.25">
      <c r="A15" s="206" t="s">
        <v>187</v>
      </c>
      <c r="C15" s="253">
        <f>C10/(C9*C8)</f>
        <v>5.9848484848484635E-3</v>
      </c>
      <c r="D15" s="250"/>
    </row>
    <row r="16" spans="1:7" ht="15.75" thickBot="1" x14ac:dyDescent="0.3">
      <c r="A16" s="207" t="s">
        <v>238</v>
      </c>
      <c r="C16" s="254">
        <f>C9*C11</f>
        <v>168.00000000000048</v>
      </c>
      <c r="D16" s="251" t="s">
        <v>188</v>
      </c>
    </row>
    <row r="18" spans="1:4" ht="15.75" thickBot="1" x14ac:dyDescent="0.3"/>
    <row r="19" spans="1:4" ht="27.75" customHeight="1" thickBot="1" x14ac:dyDescent="0.3">
      <c r="A19" s="423" t="s">
        <v>189</v>
      </c>
      <c r="B19" s="424"/>
      <c r="C19" s="425"/>
    </row>
    <row r="20" spans="1:4" ht="18" customHeight="1" x14ac:dyDescent="0.25">
      <c r="A20" s="220" t="s">
        <v>190</v>
      </c>
      <c r="C20" s="255"/>
      <c r="D20" s="249" t="s">
        <v>191</v>
      </c>
    </row>
    <row r="21" spans="1:4" ht="30" x14ac:dyDescent="0.25">
      <c r="A21" s="206" t="s">
        <v>192</v>
      </c>
      <c r="C21" s="256">
        <v>0</v>
      </c>
      <c r="D21" s="250" t="s">
        <v>193</v>
      </c>
    </row>
    <row r="22" spans="1:4" ht="30" x14ac:dyDescent="0.25">
      <c r="A22" s="206" t="s">
        <v>194</v>
      </c>
      <c r="C22" s="257" t="str">
        <f>IF(OR($C$13="",$C$12="",$C$4="",$C$5="",$C$8="",$C$9="",$C$14=""),"",MAX(0,(8*$C$12*$C$5*POWER($C$13,1/3)*SQRT($C$4)+($C$21*1000)/(6*$C$14))*$C$9*$C$8))</f>
        <v/>
      </c>
      <c r="D22" s="250" t="s">
        <v>195</v>
      </c>
    </row>
    <row r="23" spans="1:4" x14ac:dyDescent="0.25">
      <c r="A23" s="223" t="s">
        <v>196</v>
      </c>
      <c r="C23" s="258" t="str">
        <f>IF(C22="","",$C$6*C22/1000)</f>
        <v/>
      </c>
      <c r="D23" s="250" t="s">
        <v>191</v>
      </c>
    </row>
    <row r="24" spans="1:4" ht="18" customHeight="1" thickBot="1" x14ac:dyDescent="0.3">
      <c r="A24" s="224" t="s">
        <v>197</v>
      </c>
      <c r="C24" s="259" t="str">
        <f>IF(OR(C20="",C23=""),"",C20/C23)</f>
        <v/>
      </c>
      <c r="D24" s="251"/>
    </row>
    <row r="25" spans="1:4" ht="15.75" thickBot="1" x14ac:dyDescent="0.3"/>
    <row r="26" spans="1:4" ht="20.100000000000001" customHeight="1" thickBot="1" x14ac:dyDescent="0.3">
      <c r="A26" s="423" t="s">
        <v>198</v>
      </c>
      <c r="B26" s="424"/>
      <c r="C26" s="424"/>
      <c r="D26" s="425"/>
    </row>
    <row r="27" spans="1:4" x14ac:dyDescent="0.25">
      <c r="A27" s="260" t="s">
        <v>199</v>
      </c>
      <c r="C27" s="227"/>
      <c r="D27" s="261" t="s">
        <v>193</v>
      </c>
    </row>
    <row r="28" spans="1:4" ht="30" x14ac:dyDescent="0.25">
      <c r="A28" s="225" t="s">
        <v>200</v>
      </c>
      <c r="C28" s="228"/>
      <c r="D28" s="250" t="s">
        <v>180</v>
      </c>
    </row>
    <row r="29" spans="1:4" ht="30" x14ac:dyDescent="0.25">
      <c r="A29" s="225" t="s">
        <v>201</v>
      </c>
      <c r="C29" s="228">
        <v>1</v>
      </c>
      <c r="D29" s="250"/>
    </row>
    <row r="30" spans="1:4" ht="30" x14ac:dyDescent="0.25">
      <c r="A30" s="225" t="s">
        <v>202</v>
      </c>
      <c r="C30" s="264" t="s">
        <v>203</v>
      </c>
      <c r="D30" s="250"/>
    </row>
    <row r="31" spans="1:4" ht="18" customHeight="1" x14ac:dyDescent="0.25">
      <c r="A31" s="206" t="s">
        <v>204</v>
      </c>
      <c r="C31" s="265">
        <f>IF(C30="Interior",40,IF(C30="Edge",30,IF(C30="Corner",20,"")))</f>
        <v>40</v>
      </c>
      <c r="D31" s="250"/>
    </row>
    <row r="32" spans="1:4" ht="18" customHeight="1" x14ac:dyDescent="0.25">
      <c r="A32" s="206" t="s">
        <v>205</v>
      </c>
      <c r="C32" s="266" t="str">
        <f>IF(OR($C$12="",$C$5="",$C$4=""),"",4*$C$12*$C$5*SQRT($C$4))</f>
        <v/>
      </c>
      <c r="D32" s="262" t="s">
        <v>176</v>
      </c>
    </row>
    <row r="33" spans="1:4" ht="18" customHeight="1" x14ac:dyDescent="0.25">
      <c r="A33" s="206" t="s">
        <v>206</v>
      </c>
      <c r="C33" s="266" t="str">
        <f>IF(OR(C29="",$C$12="",$C$5="",$C$4=""),"",(2 + 4/C29)*$C$12*$C$5*SQRT($C$4))</f>
        <v/>
      </c>
      <c r="D33" s="262" t="s">
        <v>176</v>
      </c>
    </row>
    <row r="34" spans="1:4" ht="18" customHeight="1" x14ac:dyDescent="0.25">
      <c r="A34" s="206" t="s">
        <v>207</v>
      </c>
      <c r="C34" s="266" t="str">
        <f>IF(OR(C28="",C31="",$C$12="",$C$5="",$C$4=""),"",(2 + C31*$C$8/C28)*$C$12*$C$5*SQRT($C$4))</f>
        <v/>
      </c>
      <c r="D34" s="262" t="s">
        <v>176</v>
      </c>
    </row>
    <row r="35" spans="1:4" ht="18" customHeight="1" x14ac:dyDescent="0.25">
      <c r="A35" s="223" t="s">
        <v>208</v>
      </c>
      <c r="C35" s="267" t="str">
        <f>IF(OR(C32="",C33="",C34=""),"",MIN(C32,C33,C34))</f>
        <v/>
      </c>
      <c r="D35" s="250" t="s">
        <v>176</v>
      </c>
    </row>
    <row r="36" spans="1:4" ht="18" customHeight="1" x14ac:dyDescent="0.25">
      <c r="A36" s="223" t="s">
        <v>209</v>
      </c>
      <c r="C36" s="268" t="str">
        <f>IF(OR(C35="",C28=""),"",C35*C28*$C$8)</f>
        <v/>
      </c>
      <c r="D36" s="250" t="s">
        <v>210</v>
      </c>
    </row>
    <row r="37" spans="1:4" ht="18" customHeight="1" thickBot="1" x14ac:dyDescent="0.3">
      <c r="A37" s="223" t="s">
        <v>211</v>
      </c>
      <c r="C37" s="269" t="str">
        <f>IF(C36="","",$C$6*C36/1000)</f>
        <v/>
      </c>
      <c r="D37" s="250" t="s">
        <v>193</v>
      </c>
    </row>
    <row r="38" spans="1:4" ht="18" customHeight="1" thickBot="1" x14ac:dyDescent="0.3">
      <c r="A38" s="224" t="s">
        <v>212</v>
      </c>
      <c r="C38" s="263" t="str">
        <f>IF(OR(C27="",C37=""),"",C27/C37)</f>
        <v/>
      </c>
      <c r="D38" s="233"/>
    </row>
    <row r="40" spans="1:4" ht="20.100000000000001" customHeight="1" thickBot="1" x14ac:dyDescent="0.3">
      <c r="A40" s="426" t="s">
        <v>213</v>
      </c>
      <c r="B40" s="427"/>
      <c r="C40" s="427"/>
    </row>
    <row r="41" spans="1:4" ht="30" x14ac:dyDescent="0.25">
      <c r="A41" s="205" t="s">
        <v>214</v>
      </c>
      <c r="C41" s="227"/>
      <c r="D41" s="198" t="s">
        <v>193</v>
      </c>
    </row>
    <row r="42" spans="1:4" x14ac:dyDescent="0.25">
      <c r="A42" s="206" t="s">
        <v>215</v>
      </c>
      <c r="C42" s="228"/>
      <c r="D42" s="196" t="s">
        <v>188</v>
      </c>
    </row>
    <row r="43" spans="1:4" ht="30" x14ac:dyDescent="0.25">
      <c r="A43" s="206" t="s">
        <v>216</v>
      </c>
      <c r="C43" s="228"/>
      <c r="D43" s="196" t="s">
        <v>188</v>
      </c>
    </row>
    <row r="44" spans="1:4" ht="30" x14ac:dyDescent="0.25">
      <c r="A44" s="206" t="s">
        <v>217</v>
      </c>
      <c r="C44" s="264" t="s">
        <v>218</v>
      </c>
      <c r="D44" s="196"/>
    </row>
    <row r="45" spans="1:4" ht="21.95" customHeight="1" x14ac:dyDescent="0.25">
      <c r="A45" s="206" t="s">
        <v>219</v>
      </c>
      <c r="C45" s="257" t="str">
        <f>IF(OR($C$4="",C42=""),"",IF(C44="Yes",IF(C43="","",MIN(0.85*$C$4*C42*SQRT(C43/C42),2*(0.85*$C$4*C42))),0.85*$C$4*C42))</f>
        <v/>
      </c>
      <c r="D45" s="196" t="s">
        <v>210</v>
      </c>
    </row>
    <row r="46" spans="1:4" ht="18" customHeight="1" x14ac:dyDescent="0.25">
      <c r="A46" s="223" t="s">
        <v>220</v>
      </c>
      <c r="C46" s="258" t="str">
        <f>IF(C45="","",$C$7*C45/1000)</f>
        <v/>
      </c>
      <c r="D46" s="196" t="s">
        <v>193</v>
      </c>
    </row>
    <row r="47" spans="1:4" ht="18" customHeight="1" thickBot="1" x14ac:dyDescent="0.3">
      <c r="A47" s="224" t="s">
        <v>221</v>
      </c>
      <c r="C47" s="259" t="str">
        <f>IF(OR(C41="",C46=""),"",C41/C46)</f>
        <v/>
      </c>
      <c r="D47" s="197"/>
    </row>
  </sheetData>
  <mergeCells count="4">
    <mergeCell ref="A19:C19"/>
    <mergeCell ref="A40:C40"/>
    <mergeCell ref="A26:D26"/>
    <mergeCell ref="A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H16"/>
  <sheetViews>
    <sheetView workbookViewId="0">
      <selection activeCell="Q19" sqref="Q19"/>
    </sheetView>
  </sheetViews>
  <sheetFormatPr defaultRowHeight="15" x14ac:dyDescent="0.25"/>
  <cols>
    <col min="1" max="1" width="36" customWidth="1"/>
    <col min="2" max="2" width="13.140625" customWidth="1"/>
    <col min="3" max="5" width="12" hidden="1" customWidth="1"/>
    <col min="6" max="6" width="18" customWidth="1"/>
    <col min="7" max="7" width="4.85546875" customWidth="1"/>
    <col min="8" max="8" width="2" customWidth="1"/>
  </cols>
  <sheetData>
    <row r="1" spans="1:8" ht="31.5" customHeight="1" thickBot="1" x14ac:dyDescent="0.3">
      <c r="A1" s="428" t="s">
        <v>222</v>
      </c>
      <c r="B1" s="429"/>
      <c r="C1" s="429"/>
      <c r="D1" s="430"/>
      <c r="E1" s="428"/>
      <c r="F1" s="429"/>
      <c r="G1" s="429"/>
      <c r="H1" s="430"/>
    </row>
    <row r="2" spans="1:8" ht="15.75" hidden="1" customHeight="1" thickBot="1" x14ac:dyDescent="0.3">
      <c r="A2" s="428"/>
      <c r="B2" s="429"/>
      <c r="C2" s="429"/>
      <c r="D2" s="430"/>
      <c r="E2" s="428"/>
      <c r="F2" s="429"/>
      <c r="G2" s="429"/>
      <c r="H2" s="430"/>
    </row>
    <row r="3" spans="1:8" ht="15.75" customHeight="1" x14ac:dyDescent="0.25">
      <c r="A3" s="448" t="s">
        <v>223</v>
      </c>
      <c r="B3" s="450"/>
      <c r="C3" s="450"/>
      <c r="D3" s="450"/>
      <c r="E3" s="450"/>
      <c r="F3" s="450"/>
      <c r="G3" s="450"/>
      <c r="H3" s="451"/>
    </row>
    <row r="4" spans="1:8" ht="15.75" customHeight="1" thickBot="1" x14ac:dyDescent="0.3">
      <c r="A4" s="449"/>
      <c r="B4" s="452"/>
      <c r="C4" s="452"/>
      <c r="D4" s="452"/>
      <c r="E4" s="452"/>
      <c r="F4" s="452"/>
      <c r="G4" s="452"/>
      <c r="H4" s="453"/>
    </row>
    <row r="5" spans="1:8" x14ac:dyDescent="0.25">
      <c r="A5" s="457" t="s">
        <v>105</v>
      </c>
      <c r="B5" s="458"/>
      <c r="C5" s="458"/>
      <c r="D5" s="458"/>
      <c r="E5" s="458"/>
      <c r="F5" s="433">
        <f>Geometry!F3</f>
        <v>1.6666666666666701</v>
      </c>
      <c r="G5" s="434"/>
      <c r="H5" s="385"/>
    </row>
    <row r="6" spans="1:8" x14ac:dyDescent="0.25">
      <c r="A6" s="431" t="s">
        <v>224</v>
      </c>
      <c r="B6" s="432"/>
      <c r="C6" s="432"/>
      <c r="D6" s="432"/>
      <c r="E6" s="432"/>
      <c r="F6" s="435">
        <f>Geometry!F4</f>
        <v>3.0833333333333299</v>
      </c>
      <c r="G6" s="436"/>
      <c r="H6" s="383"/>
    </row>
    <row r="7" spans="1:8" x14ac:dyDescent="0.25">
      <c r="A7" s="431" t="s">
        <v>225</v>
      </c>
      <c r="B7" s="432"/>
      <c r="C7" s="432"/>
      <c r="D7" s="432"/>
      <c r="E7" s="432"/>
      <c r="F7" s="435">
        <f>Geometry!F5</f>
        <v>9</v>
      </c>
      <c r="G7" s="436"/>
      <c r="H7" s="383"/>
    </row>
    <row r="8" spans="1:8" x14ac:dyDescent="0.25">
      <c r="A8" s="431" t="s">
        <v>226</v>
      </c>
      <c r="B8" s="432"/>
      <c r="C8" s="432"/>
      <c r="D8" s="432"/>
      <c r="E8" s="432"/>
      <c r="F8" s="435">
        <f>Geometry!F14</f>
        <v>174.35839227423327</v>
      </c>
      <c r="G8" s="436"/>
      <c r="H8" s="383"/>
    </row>
    <row r="9" spans="1:8" x14ac:dyDescent="0.25">
      <c r="A9" s="431" t="s">
        <v>227</v>
      </c>
      <c r="B9" s="432"/>
      <c r="C9" s="432"/>
      <c r="D9" s="432"/>
      <c r="E9" s="432"/>
      <c r="F9" s="435">
        <f>'Bearing &amp; Stability'!F14</f>
        <v>0.96005814450336113</v>
      </c>
      <c r="G9" s="436"/>
      <c r="H9" s="383"/>
    </row>
    <row r="10" spans="1:8" x14ac:dyDescent="0.25">
      <c r="A10" s="431" t="s">
        <v>228</v>
      </c>
      <c r="B10" s="432"/>
      <c r="C10" s="432"/>
      <c r="D10" s="432"/>
      <c r="E10" s="432"/>
      <c r="F10" s="435">
        <f>'Bearing &amp; Stability'!F15</f>
        <v>0.24001453612584028</v>
      </c>
      <c r="G10" s="436"/>
      <c r="H10" s="383"/>
    </row>
    <row r="11" spans="1:8" x14ac:dyDescent="0.25">
      <c r="A11" s="431" t="s">
        <v>229</v>
      </c>
      <c r="B11" s="432"/>
      <c r="C11" s="432"/>
      <c r="D11" s="432"/>
      <c r="E11" s="432"/>
      <c r="F11" s="459">
        <f>'Flexure (Ring Footing)'!F16</f>
        <v>0.79</v>
      </c>
      <c r="G11" s="436"/>
      <c r="H11" s="383"/>
    </row>
    <row r="12" spans="1:8" x14ac:dyDescent="0.25">
      <c r="A12" s="431" t="s">
        <v>230</v>
      </c>
      <c r="B12" s="432"/>
      <c r="C12" s="432"/>
      <c r="D12" s="432"/>
      <c r="E12" s="432"/>
      <c r="F12" s="459">
        <f>'Flexure (Ring Footing)'!F23</f>
        <v>2.6997866969995534E-2</v>
      </c>
      <c r="G12" s="436"/>
      <c r="H12" s="383"/>
    </row>
    <row r="13" spans="1:8" x14ac:dyDescent="0.25">
      <c r="A13" s="431" t="s">
        <v>231</v>
      </c>
      <c r="B13" s="432"/>
      <c r="C13" s="432"/>
      <c r="D13" s="432"/>
      <c r="E13" s="432"/>
      <c r="F13" s="437">
        <f>'Flexure (Ring Footing)'!F33</f>
        <v>5</v>
      </c>
      <c r="G13" s="436"/>
      <c r="H13" s="383"/>
    </row>
    <row r="14" spans="1:8" x14ac:dyDescent="0.25">
      <c r="A14" s="431" t="s">
        <v>232</v>
      </c>
      <c r="B14" s="432"/>
      <c r="C14" s="432"/>
      <c r="D14" s="432"/>
      <c r="E14" s="432"/>
      <c r="F14" s="454" t="str">
        <f>'Shear &amp; Bearing (ACI 21-22)'!C24</f>
        <v/>
      </c>
      <c r="G14" s="455"/>
      <c r="H14" s="456"/>
    </row>
    <row r="15" spans="1:8" x14ac:dyDescent="0.25">
      <c r="A15" s="444" t="s">
        <v>233</v>
      </c>
      <c r="B15" s="445"/>
      <c r="C15" s="445"/>
      <c r="D15" s="445"/>
      <c r="E15" s="445"/>
      <c r="F15" s="438" t="str">
        <f>'Shear &amp; Bearing (ACI 21-22)'!C38</f>
        <v/>
      </c>
      <c r="G15" s="439"/>
      <c r="H15" s="440"/>
    </row>
    <row r="16" spans="1:8" ht="15.75" thickBot="1" x14ac:dyDescent="0.3">
      <c r="A16" s="446" t="s">
        <v>234</v>
      </c>
      <c r="B16" s="447"/>
      <c r="C16" s="447"/>
      <c r="D16" s="447"/>
      <c r="E16" s="447"/>
      <c r="F16" s="441" t="str">
        <f>'Shear &amp; Bearing (ACI 21-22)'!C47</f>
        <v/>
      </c>
      <c r="G16" s="442"/>
      <c r="H16" s="443"/>
    </row>
  </sheetData>
  <mergeCells count="30">
    <mergeCell ref="F15:H15"/>
    <mergeCell ref="F16:H16"/>
    <mergeCell ref="A15:E15"/>
    <mergeCell ref="A16:E16"/>
    <mergeCell ref="A3:A4"/>
    <mergeCell ref="B3:H4"/>
    <mergeCell ref="F14:H14"/>
    <mergeCell ref="A5:E5"/>
    <mergeCell ref="A14:E14"/>
    <mergeCell ref="A8:E8"/>
    <mergeCell ref="F11:H11"/>
    <mergeCell ref="F10:H10"/>
    <mergeCell ref="F6:H6"/>
    <mergeCell ref="A10:E10"/>
    <mergeCell ref="F12:H12"/>
    <mergeCell ref="F7:H7"/>
    <mergeCell ref="A12:E12"/>
    <mergeCell ref="F5:H5"/>
    <mergeCell ref="A11:E11"/>
    <mergeCell ref="F8:H8"/>
    <mergeCell ref="A13:E13"/>
    <mergeCell ref="A9:E9"/>
    <mergeCell ref="F13:H13"/>
    <mergeCell ref="A7:E7"/>
    <mergeCell ref="F9:H9"/>
    <mergeCell ref="A1:D1"/>
    <mergeCell ref="E1:H1"/>
    <mergeCell ref="A2:D2"/>
    <mergeCell ref="E2:H2"/>
    <mergeCell ref="A6:E6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1954C-591C-4F7F-BADA-C7A60E7E7268}">
  <dimension ref="A1:H8"/>
  <sheetViews>
    <sheetView workbookViewId="0">
      <selection activeCell="I16" sqref="I16"/>
    </sheetView>
  </sheetViews>
  <sheetFormatPr defaultRowHeight="15" x14ac:dyDescent="0.25"/>
  <cols>
    <col min="1" max="1" width="13.5703125" bestFit="1" customWidth="1"/>
    <col min="2" max="2" width="12.5703125" bestFit="1" customWidth="1"/>
    <col min="3" max="3" width="13.28515625" bestFit="1" customWidth="1"/>
    <col min="4" max="4" width="14.42578125" bestFit="1" customWidth="1"/>
    <col min="5" max="5" width="21.140625" bestFit="1" customWidth="1"/>
    <col min="6" max="6" width="20.42578125" bestFit="1" customWidth="1"/>
    <col min="7" max="7" width="17.85546875" bestFit="1" customWidth="1"/>
    <col min="8" max="8" width="18.140625" bestFit="1" customWidth="1"/>
  </cols>
  <sheetData>
    <row r="1" spans="1:8" ht="17.25" x14ac:dyDescent="0.25">
      <c r="A1" s="6" t="s">
        <v>239</v>
      </c>
      <c r="B1" s="7" t="s">
        <v>240</v>
      </c>
      <c r="C1" s="7" t="s">
        <v>241</v>
      </c>
      <c r="D1" s="7" t="s">
        <v>242</v>
      </c>
      <c r="E1" s="8" t="s">
        <v>243</v>
      </c>
      <c r="F1" s="8" t="s">
        <v>244</v>
      </c>
      <c r="G1" s="8" t="s">
        <v>245</v>
      </c>
      <c r="H1" s="7" t="s">
        <v>246</v>
      </c>
    </row>
    <row r="2" spans="1:8" x14ac:dyDescent="0.25">
      <c r="A2" s="9" t="s">
        <v>247</v>
      </c>
      <c r="B2" s="10">
        <v>24</v>
      </c>
      <c r="C2" s="10">
        <v>11.5</v>
      </c>
      <c r="D2" s="11">
        <v>23.001000000000001</v>
      </c>
      <c r="E2" s="12">
        <v>421</v>
      </c>
      <c r="F2" s="13">
        <v>25.026399999999999</v>
      </c>
      <c r="G2" s="12">
        <f t="shared" ref="G2:G8" si="0">F2+E2</f>
        <v>446.02640000000002</v>
      </c>
      <c r="H2" s="14">
        <v>470</v>
      </c>
    </row>
    <row r="3" spans="1:8" x14ac:dyDescent="0.25">
      <c r="A3" s="15" t="s">
        <v>248</v>
      </c>
      <c r="B3" s="16">
        <v>32</v>
      </c>
      <c r="C3" s="16">
        <v>12.6</v>
      </c>
      <c r="D3" s="17">
        <v>25.215599999999998</v>
      </c>
      <c r="E3" s="18">
        <v>879</v>
      </c>
      <c r="F3" s="19">
        <v>40.386499999999998</v>
      </c>
      <c r="G3" s="18">
        <f t="shared" si="0"/>
        <v>919.38649999999996</v>
      </c>
      <c r="H3" s="20">
        <v>612</v>
      </c>
    </row>
    <row r="4" spans="1:8" x14ac:dyDescent="0.25">
      <c r="A4" s="9" t="s">
        <v>249</v>
      </c>
      <c r="B4" s="10">
        <v>38</v>
      </c>
      <c r="C4" s="10">
        <v>16</v>
      </c>
      <c r="D4" s="11">
        <v>31.5884</v>
      </c>
      <c r="E4" s="12">
        <v>1729</v>
      </c>
      <c r="F4" s="13">
        <v>63.695300000000003</v>
      </c>
      <c r="G4" s="12">
        <f t="shared" si="0"/>
        <v>1792.6953000000001</v>
      </c>
      <c r="H4" s="14">
        <v>982</v>
      </c>
    </row>
    <row r="5" spans="1:8" x14ac:dyDescent="0.25">
      <c r="A5" s="15" t="s">
        <v>250</v>
      </c>
      <c r="B5" s="16">
        <v>43</v>
      </c>
      <c r="C5" s="16">
        <v>14.1</v>
      </c>
      <c r="D5" s="17">
        <v>29.677700000000002</v>
      </c>
      <c r="E5" s="18">
        <v>2139</v>
      </c>
      <c r="F5" s="19">
        <v>69.912999999999997</v>
      </c>
      <c r="G5" s="18">
        <f t="shared" si="0"/>
        <v>2208.913</v>
      </c>
      <c r="H5" s="20">
        <v>1067</v>
      </c>
    </row>
    <row r="6" spans="1:8" x14ac:dyDescent="0.25">
      <c r="A6" s="9" t="s">
        <v>251</v>
      </c>
      <c r="B6" s="10">
        <v>43</v>
      </c>
      <c r="C6" s="10">
        <v>16</v>
      </c>
      <c r="D6" s="11">
        <v>34.5944</v>
      </c>
      <c r="E6" s="12">
        <v>2581</v>
      </c>
      <c r="F6" s="13">
        <v>84.741</v>
      </c>
      <c r="G6" s="12">
        <f t="shared" si="0"/>
        <v>2665.741</v>
      </c>
      <c r="H6" s="14">
        <v>1278</v>
      </c>
    </row>
    <row r="7" spans="1:8" x14ac:dyDescent="0.25">
      <c r="A7" s="15" t="s">
        <v>252</v>
      </c>
      <c r="B7" s="16">
        <v>50</v>
      </c>
      <c r="C7" s="16">
        <v>15.8</v>
      </c>
      <c r="D7" s="17">
        <v>34.394599999999997</v>
      </c>
      <c r="E7" s="18">
        <v>3353</v>
      </c>
      <c r="F7" s="19">
        <v>83.700199999999995</v>
      </c>
      <c r="G7" s="18">
        <f t="shared" si="0"/>
        <v>3436.7002000000002</v>
      </c>
      <c r="H7" s="20">
        <v>1437</v>
      </c>
    </row>
    <row r="8" spans="1:8" ht="15.75" thickBot="1" x14ac:dyDescent="0.3">
      <c r="A8" s="21" t="s">
        <v>253</v>
      </c>
      <c r="B8" s="22">
        <v>56</v>
      </c>
      <c r="C8" s="22">
        <v>15</v>
      </c>
      <c r="D8" s="23">
        <v>34.855200000000004</v>
      </c>
      <c r="E8" s="24">
        <v>4199</v>
      </c>
      <c r="F8" s="25">
        <v>133.14500000000001</v>
      </c>
      <c r="G8" s="26">
        <f t="shared" si="0"/>
        <v>4332.1450000000004</v>
      </c>
      <c r="H8" s="27">
        <v>1617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ACI 318-19 </vt:lpstr>
      <vt:lpstr>Wind and Seismic</vt:lpstr>
      <vt:lpstr>Loads </vt:lpstr>
      <vt:lpstr>Inputs</vt:lpstr>
      <vt:lpstr>Geometry</vt:lpstr>
      <vt:lpstr>Bearing &amp; Stability</vt:lpstr>
      <vt:lpstr>Flexure (Ring Footing)</vt:lpstr>
      <vt:lpstr>Shear Checks (legacy)</vt:lpstr>
      <vt:lpstr>Shear &amp; Bearing (ACI 21-22)</vt:lpstr>
      <vt:lpstr>Summary</vt:lpstr>
      <vt:lpstr>Thank Information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Faqiri, Ahmad Rafi  - SDSU Student</cp:lastModifiedBy>
  <dcterms:created xsi:type="dcterms:W3CDTF">2026-02-13T23:13:15Z</dcterms:created>
  <dcterms:modified xsi:type="dcterms:W3CDTF">2026-03-13T14:40:29Z</dcterms:modified>
</cp:coreProperties>
</file>